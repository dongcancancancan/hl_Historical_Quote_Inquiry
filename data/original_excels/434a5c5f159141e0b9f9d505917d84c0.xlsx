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B8E4693-A49B-4128-B8EC-C0ED1DF0CECF}" xr6:coauthVersionLast="36" xr6:coauthVersionMax="36" xr10:uidLastSave="{00000000-0000-0000-0000-000000000000}"/>
  <bookViews>
    <workbookView xWindow="0" yWindow="0" windowWidth="28800" windowHeight="12135" activeTab="3" xr2:uid="{00000000-000D-0000-FFFF-FFFF00000000}"/>
  </bookViews>
  <sheets>
    <sheet name="23.8.17含税-德州-隋总" sheetId="1" r:id="rId1"/>
    <sheet name="23.8.17未税-德州2" sheetId="4" r:id="rId2"/>
    <sheet name="23.8.29未税单价-惠州" sheetId="5" r:id="rId3"/>
    <sheet name="23.8.29未税成本-惠州" sheetId="7" r:id="rId4"/>
    <sheet name="隋总提供" sheetId="6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5" l="1"/>
  <c r="F20" i="5"/>
  <c r="F19" i="5"/>
  <c r="H334" i="7"/>
  <c r="I334" i="7" s="1"/>
  <c r="H315" i="7"/>
  <c r="K336" i="7"/>
  <c r="K317" i="7"/>
  <c r="F308" i="7"/>
  <c r="E308" i="7"/>
  <c r="F327" i="7"/>
  <c r="E327" i="7"/>
  <c r="F346" i="7"/>
  <c r="E346" i="7"/>
  <c r="C344" i="7"/>
  <c r="C342" i="7"/>
  <c r="C325" i="7"/>
  <c r="C323" i="7"/>
  <c r="C306" i="7"/>
  <c r="C304" i="7"/>
  <c r="H296" i="7"/>
  <c r="K298" i="7"/>
  <c r="B340" i="7"/>
  <c r="E340" i="7" s="1"/>
  <c r="I340" i="7" s="1"/>
  <c r="B339" i="7"/>
  <c r="E339" i="7" s="1"/>
  <c r="E338" i="7"/>
  <c r="G335" i="7"/>
  <c r="G336" i="7" s="1"/>
  <c r="G334" i="7"/>
  <c r="B321" i="7"/>
  <c r="E321" i="7" s="1"/>
  <c r="I321" i="7" s="1"/>
  <c r="B320" i="7"/>
  <c r="E320" i="7" s="1"/>
  <c r="E319" i="7"/>
  <c r="G317" i="7"/>
  <c r="G316" i="7"/>
  <c r="I316" i="7" s="1"/>
  <c r="G315" i="7"/>
  <c r="B302" i="7"/>
  <c r="E302" i="7" s="1"/>
  <c r="I302" i="7" s="1"/>
  <c r="B301" i="7"/>
  <c r="E301" i="7" s="1"/>
  <c r="E300" i="7"/>
  <c r="G297" i="7"/>
  <c r="I297" i="7" s="1"/>
  <c r="G296" i="7"/>
  <c r="I296" i="7" l="1"/>
  <c r="H300" i="7" s="1"/>
  <c r="I300" i="7" s="1"/>
  <c r="I315" i="7"/>
  <c r="H319" i="7" s="1"/>
  <c r="I319" i="7" s="1"/>
  <c r="I335" i="7"/>
  <c r="I336" i="7" s="1"/>
  <c r="H338" i="7"/>
  <c r="I338" i="7" s="1"/>
  <c r="G298" i="7"/>
  <c r="I298" i="7" l="1"/>
  <c r="H301" i="7" s="1"/>
  <c r="I301" i="7" s="1"/>
  <c r="I303" i="7" s="1"/>
  <c r="I317" i="7"/>
  <c r="B317" i="7" s="1"/>
  <c r="B336" i="7"/>
  <c r="H339" i="7"/>
  <c r="I339" i="7" s="1"/>
  <c r="I341" i="7" s="1"/>
  <c r="H344" i="7" s="1"/>
  <c r="B298" i="7" l="1"/>
  <c r="H320" i="7"/>
  <c r="I320" i="7" s="1"/>
  <c r="I322" i="7" s="1"/>
  <c r="H325" i="7" s="1"/>
  <c r="H327" i="7" s="1"/>
  <c r="H306" i="7"/>
  <c r="H308" i="7" s="1"/>
  <c r="H346" i="7"/>
  <c r="I344" i="7"/>
  <c r="I306" i="7" l="1"/>
  <c r="I308" i="7" s="1"/>
  <c r="I346" i="7"/>
  <c r="I325" i="7"/>
  <c r="I327" i="7" s="1"/>
  <c r="J298" i="7" l="1"/>
  <c r="G19" i="5" s="1"/>
  <c r="E19" i="5"/>
  <c r="I19" i="5" s="1"/>
  <c r="J317" i="7"/>
  <c r="G20" i="5" s="1"/>
  <c r="E20" i="5"/>
  <c r="I20" i="5" s="1"/>
  <c r="J336" i="7"/>
  <c r="G21" i="5" s="1"/>
  <c r="E21" i="5"/>
  <c r="I21" i="5" s="1"/>
  <c r="F24" i="5"/>
  <c r="F23" i="5"/>
  <c r="F22" i="5"/>
  <c r="H391" i="7"/>
  <c r="H372" i="7"/>
  <c r="H353" i="7"/>
  <c r="F403" i="7"/>
  <c r="E403" i="7"/>
  <c r="F384" i="7"/>
  <c r="E384" i="7"/>
  <c r="F365" i="7"/>
  <c r="E365" i="7"/>
  <c r="C401" i="7"/>
  <c r="C399" i="7"/>
  <c r="C382" i="7"/>
  <c r="C380" i="7"/>
  <c r="C363" i="7"/>
  <c r="C361" i="7"/>
  <c r="K393" i="7"/>
  <c r="K374" i="7"/>
  <c r="K355" i="7"/>
  <c r="B397" i="7"/>
  <c r="E397" i="7" s="1"/>
  <c r="I397" i="7" s="1"/>
  <c r="B396" i="7"/>
  <c r="E396" i="7" s="1"/>
  <c r="E395" i="7"/>
  <c r="G392" i="7"/>
  <c r="I392" i="7" s="1"/>
  <c r="G391" i="7"/>
  <c r="B378" i="7"/>
  <c r="E378" i="7" s="1"/>
  <c r="I378" i="7" s="1"/>
  <c r="B377" i="7"/>
  <c r="E377" i="7" s="1"/>
  <c r="E376" i="7"/>
  <c r="G373" i="7"/>
  <c r="I373" i="7" s="1"/>
  <c r="G372" i="7"/>
  <c r="B359" i="7"/>
  <c r="E359" i="7" s="1"/>
  <c r="I359" i="7" s="1"/>
  <c r="B358" i="7"/>
  <c r="E358" i="7" s="1"/>
  <c r="E357" i="7"/>
  <c r="G354" i="7"/>
  <c r="I354" i="7" s="1"/>
  <c r="I353" i="7"/>
  <c r="G353" i="7"/>
  <c r="F18" i="5"/>
  <c r="H277" i="7"/>
  <c r="F289" i="7"/>
  <c r="E289" i="7"/>
  <c r="C287" i="7"/>
  <c r="C285" i="7"/>
  <c r="B283" i="7"/>
  <c r="E283" i="7" s="1"/>
  <c r="B282" i="7"/>
  <c r="E282" i="7" s="1"/>
  <c r="E281" i="7"/>
  <c r="G279" i="7"/>
  <c r="K279" i="7" s="1"/>
  <c r="G278" i="7"/>
  <c r="I278" i="7" s="1"/>
  <c r="G277" i="7"/>
  <c r="F17" i="5"/>
  <c r="F16" i="5"/>
  <c r="F15" i="5"/>
  <c r="F14" i="5"/>
  <c r="H259" i="7"/>
  <c r="H241" i="7"/>
  <c r="H223" i="7"/>
  <c r="F270" i="7"/>
  <c r="E270" i="7"/>
  <c r="F252" i="7"/>
  <c r="E252" i="7"/>
  <c r="F234" i="7"/>
  <c r="E234" i="7"/>
  <c r="F216" i="7"/>
  <c r="E216" i="7"/>
  <c r="C268" i="7"/>
  <c r="C266" i="7"/>
  <c r="C250" i="7"/>
  <c r="C248" i="7"/>
  <c r="C232" i="7"/>
  <c r="C230" i="7"/>
  <c r="C214" i="7"/>
  <c r="C212" i="7"/>
  <c r="H205" i="7"/>
  <c r="B264" i="7"/>
  <c r="E264" i="7" s="1"/>
  <c r="E263" i="7"/>
  <c r="G260" i="7"/>
  <c r="I260" i="7" s="1"/>
  <c r="G259" i="7"/>
  <c r="B246" i="7"/>
  <c r="E246" i="7" s="1"/>
  <c r="E245" i="7"/>
  <c r="G242" i="7"/>
  <c r="I242" i="7" s="1"/>
  <c r="G241" i="7"/>
  <c r="G243" i="7" s="1"/>
  <c r="K243" i="7" s="1"/>
  <c r="B228" i="7"/>
  <c r="E228" i="7" s="1"/>
  <c r="E227" i="7"/>
  <c r="G224" i="7"/>
  <c r="I224" i="7" s="1"/>
  <c r="G223" i="7"/>
  <c r="G225" i="7" s="1"/>
  <c r="K225" i="7" s="1"/>
  <c r="B210" i="7"/>
  <c r="E210" i="7" s="1"/>
  <c r="E209" i="7"/>
  <c r="G206" i="7"/>
  <c r="I206" i="7" s="1"/>
  <c r="G205" i="7"/>
  <c r="F13" i="5"/>
  <c r="F12" i="5"/>
  <c r="H187" i="7"/>
  <c r="F198" i="7"/>
  <c r="E198" i="7"/>
  <c r="F180" i="7"/>
  <c r="E180" i="7"/>
  <c r="C196" i="7"/>
  <c r="C194" i="7"/>
  <c r="C178" i="7"/>
  <c r="C176" i="7"/>
  <c r="H169" i="7"/>
  <c r="B192" i="7"/>
  <c r="E192" i="7" s="1"/>
  <c r="E191" i="7"/>
  <c r="G188" i="7"/>
  <c r="I188" i="7" s="1"/>
  <c r="G187" i="7"/>
  <c r="B174" i="7"/>
  <c r="E174" i="7" s="1"/>
  <c r="E173" i="7"/>
  <c r="G170" i="7"/>
  <c r="I170" i="7" s="1"/>
  <c r="G169" i="7"/>
  <c r="F11" i="5"/>
  <c r="F10" i="5"/>
  <c r="F9" i="5"/>
  <c r="F8" i="5"/>
  <c r="F162" i="7"/>
  <c r="E162" i="7"/>
  <c r="F144" i="7"/>
  <c r="E144" i="7"/>
  <c r="F126" i="7"/>
  <c r="E126" i="7"/>
  <c r="F108" i="7"/>
  <c r="E108" i="7"/>
  <c r="C160" i="7"/>
  <c r="C158" i="7"/>
  <c r="C142" i="7"/>
  <c r="C140" i="7"/>
  <c r="C124" i="7"/>
  <c r="C122" i="7"/>
  <c r="C106" i="7"/>
  <c r="C104" i="7"/>
  <c r="H151" i="7"/>
  <c r="H133" i="7"/>
  <c r="H115" i="7"/>
  <c r="H97" i="7"/>
  <c r="B156" i="7"/>
  <c r="E156" i="7" s="1"/>
  <c r="E155" i="7"/>
  <c r="I152" i="7"/>
  <c r="G152" i="7"/>
  <c r="G151" i="7"/>
  <c r="B138" i="7"/>
  <c r="E138" i="7" s="1"/>
  <c r="E137" i="7"/>
  <c r="G134" i="7"/>
  <c r="I134" i="7" s="1"/>
  <c r="G133" i="7"/>
  <c r="G135" i="7" s="1"/>
  <c r="K135" i="7" s="1"/>
  <c r="B120" i="7"/>
  <c r="E120" i="7" s="1"/>
  <c r="E119" i="7"/>
  <c r="G116" i="7"/>
  <c r="I116" i="7" s="1"/>
  <c r="G115" i="7"/>
  <c r="B102" i="7"/>
  <c r="E102" i="7" s="1"/>
  <c r="E101" i="7"/>
  <c r="I98" i="7"/>
  <c r="G98" i="7"/>
  <c r="G97" i="7"/>
  <c r="G99" i="7" s="1"/>
  <c r="K99" i="7" s="1"/>
  <c r="F7" i="5"/>
  <c r="F6" i="5"/>
  <c r="F5" i="5"/>
  <c r="H79" i="7"/>
  <c r="H61" i="7"/>
  <c r="I61" i="7" s="1"/>
  <c r="I63" i="7" s="1"/>
  <c r="F90" i="7"/>
  <c r="E90" i="7"/>
  <c r="F72" i="7"/>
  <c r="E72" i="7"/>
  <c r="F54" i="7"/>
  <c r="E54" i="7"/>
  <c r="C88" i="7"/>
  <c r="C86" i="7"/>
  <c r="C70" i="7"/>
  <c r="C68" i="7"/>
  <c r="C50" i="7"/>
  <c r="C52" i="7"/>
  <c r="H43" i="7"/>
  <c r="H25" i="7"/>
  <c r="H7" i="7"/>
  <c r="B84" i="7"/>
  <c r="E84" i="7" s="1"/>
  <c r="E83" i="7"/>
  <c r="G80" i="7"/>
  <c r="I80" i="7" s="1"/>
  <c r="G79" i="7"/>
  <c r="B66" i="7"/>
  <c r="E66" i="7" s="1"/>
  <c r="E65" i="7"/>
  <c r="G62" i="7"/>
  <c r="I62" i="7" s="1"/>
  <c r="G61" i="7"/>
  <c r="G63" i="7" s="1"/>
  <c r="K63" i="7" s="1"/>
  <c r="B48" i="7"/>
  <c r="E48" i="7" s="1"/>
  <c r="E47" i="7"/>
  <c r="G44" i="7"/>
  <c r="I44" i="7" s="1"/>
  <c r="G43" i="7"/>
  <c r="G45" i="7" s="1"/>
  <c r="K45" i="7" s="1"/>
  <c r="F4" i="5"/>
  <c r="F3" i="5"/>
  <c r="C34" i="7"/>
  <c r="F36" i="7"/>
  <c r="E36" i="7"/>
  <c r="F18" i="7"/>
  <c r="E18" i="7"/>
  <c r="C16" i="7"/>
  <c r="B12" i="7"/>
  <c r="E12" i="7" s="1"/>
  <c r="E11" i="7"/>
  <c r="G8" i="7"/>
  <c r="I8" i="7" s="1"/>
  <c r="G7" i="7"/>
  <c r="B30" i="7"/>
  <c r="E30" i="7" s="1"/>
  <c r="E29" i="7"/>
  <c r="G26" i="7"/>
  <c r="I26" i="7" s="1"/>
  <c r="G25" i="7"/>
  <c r="G27" i="7" s="1"/>
  <c r="K27" i="7" s="1"/>
  <c r="I79" i="7" l="1"/>
  <c r="I81" i="7" s="1"/>
  <c r="I372" i="7"/>
  <c r="H376" i="7" s="1"/>
  <c r="I376" i="7" s="1"/>
  <c r="I151" i="7"/>
  <c r="I153" i="7" s="1"/>
  <c r="I259" i="7"/>
  <c r="I261" i="7" s="1"/>
  <c r="I115" i="7"/>
  <c r="I117" i="7" s="1"/>
  <c r="I391" i="7"/>
  <c r="I393" i="7" s="1"/>
  <c r="I355" i="7"/>
  <c r="B355" i="7" s="1"/>
  <c r="G393" i="7"/>
  <c r="G374" i="7"/>
  <c r="H357" i="7"/>
  <c r="I357" i="7" s="1"/>
  <c r="G355" i="7"/>
  <c r="G81" i="7"/>
  <c r="K81" i="7" s="1"/>
  <c r="I97" i="7"/>
  <c r="I99" i="7" s="1"/>
  <c r="G153" i="7"/>
  <c r="K153" i="7" s="1"/>
  <c r="G207" i="7"/>
  <c r="K207" i="7" s="1"/>
  <c r="G9" i="7"/>
  <c r="K9" i="7" s="1"/>
  <c r="G117" i="7"/>
  <c r="K117" i="7" s="1"/>
  <c r="I205" i="7"/>
  <c r="I207" i="7" s="1"/>
  <c r="I277" i="7"/>
  <c r="I279" i="7" s="1"/>
  <c r="I25" i="7"/>
  <c r="I27" i="7" s="1"/>
  <c r="B27" i="7" s="1"/>
  <c r="I223" i="7"/>
  <c r="I225" i="7" s="1"/>
  <c r="B225" i="7" s="1"/>
  <c r="G189" i="7"/>
  <c r="K189" i="7" s="1"/>
  <c r="I241" i="7"/>
  <c r="H245" i="7" s="1"/>
  <c r="I245" i="7" s="1"/>
  <c r="H263" i="7"/>
  <c r="I263" i="7" s="1"/>
  <c r="G261" i="7"/>
  <c r="K261" i="7" s="1"/>
  <c r="I169" i="7"/>
  <c r="I171" i="7" s="1"/>
  <c r="I187" i="7"/>
  <c r="G171" i="7"/>
  <c r="K171" i="7" s="1"/>
  <c r="I133" i="7"/>
  <c r="H119" i="7"/>
  <c r="I119" i="7" s="1"/>
  <c r="I43" i="7"/>
  <c r="I45" i="7" s="1"/>
  <c r="H66" i="7"/>
  <c r="I66" i="7" s="1"/>
  <c r="B63" i="7"/>
  <c r="H65" i="7"/>
  <c r="I65" i="7" s="1"/>
  <c r="I7" i="7"/>
  <c r="H12" i="7" s="1"/>
  <c r="I12" i="7" s="1"/>
  <c r="K11" i="4"/>
  <c r="H10" i="4"/>
  <c r="H83" i="7" l="1"/>
  <c r="I83" i="7" s="1"/>
  <c r="I374" i="7"/>
  <c r="H358" i="7"/>
  <c r="I358" i="7" s="1"/>
  <c r="I360" i="7" s="1"/>
  <c r="H363" i="7" s="1"/>
  <c r="H365" i="7" s="1"/>
  <c r="H29" i="7"/>
  <c r="I29" i="7" s="1"/>
  <c r="H395" i="7"/>
  <c r="I395" i="7" s="1"/>
  <c r="H209" i="7"/>
  <c r="I209" i="7" s="1"/>
  <c r="H210" i="7"/>
  <c r="I210" i="7" s="1"/>
  <c r="B207" i="7"/>
  <c r="H155" i="7"/>
  <c r="I155" i="7" s="1"/>
  <c r="H101" i="7"/>
  <c r="I101" i="7" s="1"/>
  <c r="H228" i="7"/>
  <c r="I228" i="7" s="1"/>
  <c r="H396" i="7"/>
  <c r="I396" i="7" s="1"/>
  <c r="B393" i="7"/>
  <c r="H377" i="7"/>
  <c r="I377" i="7" s="1"/>
  <c r="I379" i="7" s="1"/>
  <c r="B374" i="7"/>
  <c r="B99" i="7"/>
  <c r="H102" i="7"/>
  <c r="I102" i="7" s="1"/>
  <c r="H47" i="7"/>
  <c r="I47" i="7" s="1"/>
  <c r="H30" i="7"/>
  <c r="I30" i="7" s="1"/>
  <c r="H173" i="7"/>
  <c r="I173" i="7" s="1"/>
  <c r="H227" i="7"/>
  <c r="I227" i="7" s="1"/>
  <c r="H281" i="7"/>
  <c r="I281" i="7" s="1"/>
  <c r="H283" i="7"/>
  <c r="I283" i="7" s="1"/>
  <c r="B279" i="7"/>
  <c r="H282" i="7"/>
  <c r="I282" i="7" s="1"/>
  <c r="I243" i="7"/>
  <c r="H246" i="7" s="1"/>
  <c r="I246" i="7" s="1"/>
  <c r="I247" i="7" s="1"/>
  <c r="H264" i="7"/>
  <c r="I264" i="7" s="1"/>
  <c r="I265" i="7" s="1"/>
  <c r="B261" i="7"/>
  <c r="I189" i="7"/>
  <c r="H191" i="7"/>
  <c r="I191" i="7" s="1"/>
  <c r="B171" i="7"/>
  <c r="H174" i="7"/>
  <c r="I174" i="7" s="1"/>
  <c r="I175" i="7" s="1"/>
  <c r="H156" i="7"/>
  <c r="I156" i="7" s="1"/>
  <c r="B153" i="7"/>
  <c r="I135" i="7"/>
  <c r="H137" i="7"/>
  <c r="I137" i="7" s="1"/>
  <c r="H120" i="7"/>
  <c r="I120" i="7" s="1"/>
  <c r="I121" i="7" s="1"/>
  <c r="B117" i="7"/>
  <c r="I67" i="7"/>
  <c r="H70" i="7" s="1"/>
  <c r="H72" i="7" s="1"/>
  <c r="H84" i="7"/>
  <c r="I84" i="7" s="1"/>
  <c r="B81" i="7"/>
  <c r="H48" i="7"/>
  <c r="I48" i="7" s="1"/>
  <c r="B45" i="7"/>
  <c r="I9" i="7"/>
  <c r="B9" i="7" s="1"/>
  <c r="H11" i="7"/>
  <c r="I11" i="7" s="1"/>
  <c r="I13" i="7" s="1"/>
  <c r="H16" i="7" s="1"/>
  <c r="K18" i="4"/>
  <c r="F22" i="4"/>
  <c r="E22" i="4"/>
  <c r="B16" i="4"/>
  <c r="E16" i="4" s="1"/>
  <c r="E15" i="4"/>
  <c r="B14" i="4"/>
  <c r="E14" i="4" s="1"/>
  <c r="E13" i="4"/>
  <c r="B13" i="4"/>
  <c r="I10" i="4"/>
  <c r="G10" i="4"/>
  <c r="G9" i="4"/>
  <c r="I9" i="4" s="1"/>
  <c r="I8" i="4"/>
  <c r="H7" i="4"/>
  <c r="I7" i="4" s="1"/>
  <c r="G7" i="4"/>
  <c r="I103" i="7" l="1"/>
  <c r="H106" i="7" s="1"/>
  <c r="H108" i="7" s="1"/>
  <c r="I211" i="7"/>
  <c r="H214" i="7" s="1"/>
  <c r="I214" i="7" s="1"/>
  <c r="I85" i="7"/>
  <c r="H88" i="7" s="1"/>
  <c r="I88" i="7" s="1"/>
  <c r="I229" i="7"/>
  <c r="H232" i="7" s="1"/>
  <c r="I232" i="7" s="1"/>
  <c r="I234" i="7" s="1"/>
  <c r="I31" i="7"/>
  <c r="H34" i="7" s="1"/>
  <c r="H36" i="7" s="1"/>
  <c r="I398" i="7"/>
  <c r="I49" i="7"/>
  <c r="H52" i="7" s="1"/>
  <c r="H54" i="7" s="1"/>
  <c r="I363" i="7"/>
  <c r="I365" i="7" s="1"/>
  <c r="I70" i="7"/>
  <c r="I72" i="7" s="1"/>
  <c r="I106" i="7"/>
  <c r="I108" i="7" s="1"/>
  <c r="E8" i="5" s="1"/>
  <c r="I8" i="5" s="1"/>
  <c r="I157" i="7"/>
  <c r="H160" i="7" s="1"/>
  <c r="H162" i="7" s="1"/>
  <c r="H401" i="7"/>
  <c r="H403" i="7" s="1"/>
  <c r="H382" i="7"/>
  <c r="H384" i="7" s="1"/>
  <c r="H234" i="7"/>
  <c r="I284" i="7"/>
  <c r="H287" i="7" s="1"/>
  <c r="H289" i="7" s="1"/>
  <c r="H216" i="7"/>
  <c r="I216" i="7" s="1"/>
  <c r="H268" i="7"/>
  <c r="H270" i="7" s="1"/>
  <c r="B243" i="7"/>
  <c r="H178" i="7"/>
  <c r="I178" i="7" s="1"/>
  <c r="H192" i="7"/>
  <c r="I192" i="7" s="1"/>
  <c r="I193" i="7" s="1"/>
  <c r="B189" i="7"/>
  <c r="H124" i="7"/>
  <c r="H126" i="7" s="1"/>
  <c r="H138" i="7"/>
  <c r="I138" i="7" s="1"/>
  <c r="I139" i="7" s="1"/>
  <c r="B135" i="7"/>
  <c r="H18" i="7"/>
  <c r="I16" i="7"/>
  <c r="H14" i="4"/>
  <c r="I14" i="4" s="1"/>
  <c r="I11" i="4"/>
  <c r="B11" i="4" s="1"/>
  <c r="H15" i="4"/>
  <c r="I15" i="4" s="1"/>
  <c r="H13" i="4"/>
  <c r="I13" i="4" s="1"/>
  <c r="G11" i="4"/>
  <c r="H90" i="7" l="1"/>
  <c r="I90" i="7" s="1"/>
  <c r="I34" i="7"/>
  <c r="I36" i="7" s="1"/>
  <c r="J99" i="7"/>
  <c r="G8" i="5" s="1"/>
  <c r="I268" i="7"/>
  <c r="I270" i="7" s="1"/>
  <c r="J355" i="7"/>
  <c r="G22" i="5" s="1"/>
  <c r="E22" i="5"/>
  <c r="I22" i="5" s="1"/>
  <c r="I401" i="7"/>
  <c r="I403" i="7" s="1"/>
  <c r="I382" i="7"/>
  <c r="I384" i="7" s="1"/>
  <c r="I287" i="7"/>
  <c r="I289" i="7" s="1"/>
  <c r="J207" i="7"/>
  <c r="G14" i="5" s="1"/>
  <c r="E14" i="5"/>
  <c r="I14" i="5" s="1"/>
  <c r="J63" i="7"/>
  <c r="G6" i="5" s="1"/>
  <c r="E6" i="5"/>
  <c r="I6" i="5" s="1"/>
  <c r="J225" i="7"/>
  <c r="G15" i="5" s="1"/>
  <c r="E15" i="5"/>
  <c r="I15" i="5" s="1"/>
  <c r="I160" i="7"/>
  <c r="I162" i="7" s="1"/>
  <c r="H250" i="7"/>
  <c r="H180" i="7"/>
  <c r="I180" i="7" s="1"/>
  <c r="H196" i="7"/>
  <c r="H198" i="7" s="1"/>
  <c r="H142" i="7"/>
  <c r="I142" i="7" s="1"/>
  <c r="I124" i="7"/>
  <c r="I126" i="7" s="1"/>
  <c r="I52" i="7"/>
  <c r="I54" i="7" s="1"/>
  <c r="J27" i="7"/>
  <c r="G4" i="5" s="1"/>
  <c r="E4" i="5"/>
  <c r="I4" i="5" s="1"/>
  <c r="I18" i="7"/>
  <c r="H16" i="4"/>
  <c r="I16" i="4" s="1"/>
  <c r="I17" i="4" s="1"/>
  <c r="H20" i="4" s="1"/>
  <c r="J81" i="7" l="1"/>
  <c r="G7" i="5" s="1"/>
  <c r="E7" i="5"/>
  <c r="I7" i="5" s="1"/>
  <c r="E17" i="5"/>
  <c r="I17" i="5" s="1"/>
  <c r="J261" i="7"/>
  <c r="G17" i="5" s="1"/>
  <c r="I196" i="7"/>
  <c r="J374" i="7"/>
  <c r="G23" i="5" s="1"/>
  <c r="E23" i="5"/>
  <c r="I23" i="5" s="1"/>
  <c r="J393" i="7"/>
  <c r="G24" i="5" s="1"/>
  <c r="E24" i="5"/>
  <c r="I24" i="5" s="1"/>
  <c r="I198" i="7"/>
  <c r="J189" i="7" s="1"/>
  <c r="G13" i="5" s="1"/>
  <c r="H144" i="7"/>
  <c r="I144" i="7" s="1"/>
  <c r="J279" i="7"/>
  <c r="G18" i="5" s="1"/>
  <c r="E18" i="5"/>
  <c r="I18" i="5" s="1"/>
  <c r="J45" i="7"/>
  <c r="G5" i="5" s="1"/>
  <c r="E5" i="5"/>
  <c r="I5" i="5" s="1"/>
  <c r="J153" i="7"/>
  <c r="G11" i="5" s="1"/>
  <c r="E11" i="5"/>
  <c r="I11" i="5" s="1"/>
  <c r="J117" i="7"/>
  <c r="G9" i="5" s="1"/>
  <c r="E9" i="5"/>
  <c r="I9" i="5" s="1"/>
  <c r="J171" i="7"/>
  <c r="G12" i="5" s="1"/>
  <c r="E12" i="5"/>
  <c r="I12" i="5" s="1"/>
  <c r="I250" i="7"/>
  <c r="H252" i="7"/>
  <c r="E3" i="5"/>
  <c r="I3" i="5" s="1"/>
  <c r="J9" i="7"/>
  <c r="G3" i="5" s="1"/>
  <c r="I20" i="4"/>
  <c r="H22" i="4"/>
  <c r="E13" i="5" l="1"/>
  <c r="I13" i="5" s="1"/>
  <c r="J135" i="7"/>
  <c r="G10" i="5" s="1"/>
  <c r="E10" i="5"/>
  <c r="I10" i="5" s="1"/>
  <c r="I252" i="7"/>
  <c r="I22" i="4"/>
  <c r="J11" i="4" s="1"/>
  <c r="J243" i="7" l="1"/>
  <c r="G16" i="5" s="1"/>
  <c r="E16" i="5"/>
  <c r="I16" i="5" s="1"/>
  <c r="J18" i="4"/>
  <c r="K22" i="4"/>
  <c r="J11" i="1" l="1"/>
  <c r="F22" i="1" l="1"/>
  <c r="E22" i="1"/>
  <c r="B16" i="1"/>
  <c r="E16" i="1" s="1"/>
  <c r="E15" i="1"/>
  <c r="B15" i="1"/>
  <c r="B14" i="1"/>
  <c r="E14" i="1" s="1"/>
  <c r="B13" i="1"/>
  <c r="E13" i="1" s="1"/>
  <c r="G10" i="1"/>
  <c r="I10" i="1" s="1"/>
  <c r="H9" i="1"/>
  <c r="G9" i="1"/>
  <c r="I9" i="1" s="1"/>
  <c r="H14" i="1" s="1"/>
  <c r="I8" i="1"/>
  <c r="H7" i="1"/>
  <c r="G7" i="1"/>
  <c r="I7" i="1" s="1"/>
  <c r="H13" i="1" l="1"/>
  <c r="I11" i="1"/>
  <c r="I13" i="1"/>
  <c r="I14" i="1"/>
  <c r="G11" i="1"/>
  <c r="H16" i="1" l="1"/>
  <c r="I16" i="1" s="1"/>
  <c r="B11" i="1"/>
  <c r="H15" i="1"/>
  <c r="I15" i="1" s="1"/>
  <c r="I17" i="1" s="1"/>
  <c r="H20" i="1" s="1"/>
  <c r="I20" i="1" l="1"/>
  <c r="H22" i="1"/>
  <c r="I22" i="1" l="1"/>
</calcChain>
</file>

<file path=xl/sharedStrings.xml><?xml version="1.0" encoding="utf-8"?>
<sst xmlns="http://schemas.openxmlformats.org/spreadsheetml/2006/main" count="1744" uniqueCount="363">
  <si>
    <t>成 本 分 析 表</t>
    <phoneticPr fontId="5" type="noConversion"/>
  </si>
  <si>
    <t>一个月50万米，货到德州</t>
    <phoneticPr fontId="4" type="noConversion"/>
  </si>
  <si>
    <t>编号:</t>
    <phoneticPr fontId="7" type="noConversion"/>
  </si>
  <si>
    <t>NONUL001</t>
    <phoneticPr fontId="5" type="noConversion"/>
  </si>
  <si>
    <t>德州隋总要单价</t>
    <phoneticPr fontId="4" type="noConversion"/>
  </si>
  <si>
    <t>客户：</t>
    <phoneticPr fontId="5" type="noConversion"/>
  </si>
  <si>
    <t>分析日期：</t>
    <phoneticPr fontId="5" type="noConversion"/>
  </si>
  <si>
    <t>预留三方费用0.5%</t>
    <phoneticPr fontId="4" type="noConversion"/>
  </si>
  <si>
    <t>结构：</t>
    <phoneticPr fontId="5" type="noConversion"/>
  </si>
  <si>
    <t>45/0.12TS*2C</t>
    <phoneticPr fontId="5" type="noConversion"/>
  </si>
  <si>
    <t>品名规格：</t>
    <phoneticPr fontId="5" type="noConversion"/>
  </si>
  <si>
    <t>NONUL 2X20AWG</t>
    <phoneticPr fontId="5" type="noConversion"/>
  </si>
  <si>
    <t>序号</t>
    <phoneticPr fontId="5" type="noConversion"/>
  </si>
  <si>
    <t>制程</t>
    <phoneticPr fontId="5" type="noConversion"/>
  </si>
  <si>
    <t>规格</t>
    <phoneticPr fontId="5" type="noConversion"/>
  </si>
  <si>
    <t>单位用量</t>
    <phoneticPr fontId="5" type="noConversion"/>
  </si>
  <si>
    <t>单价</t>
    <phoneticPr fontId="5" type="noConversion"/>
  </si>
  <si>
    <t>材料金额</t>
    <phoneticPr fontId="5" type="noConversion"/>
  </si>
  <si>
    <t>KG/100M</t>
    <phoneticPr fontId="5" type="noConversion"/>
  </si>
  <si>
    <t>RMB/KG</t>
    <phoneticPr fontId="5" type="noConversion"/>
  </si>
  <si>
    <t>RMB/100M</t>
    <phoneticPr fontId="5" type="noConversion"/>
  </si>
  <si>
    <t>1</t>
    <phoneticPr fontId="5" type="noConversion"/>
  </si>
  <si>
    <t>铜绞</t>
    <phoneticPr fontId="5" type="noConversion"/>
  </si>
  <si>
    <r>
      <t>250D</t>
    </r>
    <r>
      <rPr>
        <sz val="12"/>
        <rFont val="宋体"/>
        <family val="1"/>
        <charset val="134"/>
      </rPr>
      <t>尼龙</t>
    </r>
    <phoneticPr fontId="4" type="noConversion"/>
  </si>
  <si>
    <t>芯押</t>
    <phoneticPr fontId="5" type="noConversion"/>
  </si>
  <si>
    <r>
      <rPr>
        <sz val="12"/>
        <rFont val="宋体"/>
        <family val="3"/>
        <charset val="134"/>
      </rPr>
      <t>敬信阻燃</t>
    </r>
    <r>
      <rPr>
        <sz val="12"/>
        <rFont val="Times New Roman"/>
        <family val="3"/>
      </rPr>
      <t>PP,PA1120001</t>
    </r>
    <r>
      <rPr>
        <sz val="12"/>
        <rFont val="Times New Roman"/>
        <family val="1"/>
      </rPr>
      <t xml:space="preserve">  ID:1.4mm*2C   </t>
    </r>
    <phoneticPr fontId="5" type="noConversion"/>
  </si>
  <si>
    <t>含税34.5元</t>
    <phoneticPr fontId="4" type="noConversion"/>
  </si>
  <si>
    <t>外被</t>
    <phoneticPr fontId="5" type="noConversion"/>
  </si>
  <si>
    <r>
      <t xml:space="preserve">C86010108 </t>
    </r>
    <r>
      <rPr>
        <sz val="12"/>
        <rFont val="Times New Roman"/>
        <family val="1"/>
      </rPr>
      <t xml:space="preserve">OD:3.8mm   </t>
    </r>
    <phoneticPr fontId="5" type="noConversion"/>
  </si>
  <si>
    <t>材料成本</t>
    <phoneticPr fontId="5" type="noConversion"/>
  </si>
  <si>
    <t>RMB/M</t>
    <phoneticPr fontId="5" type="noConversion"/>
  </si>
  <si>
    <t>Kg</t>
    <phoneticPr fontId="7" type="noConversion"/>
  </si>
  <si>
    <t>標准工時(一台机1KM开机时间)</t>
    <phoneticPr fontId="5" type="noConversion"/>
  </si>
  <si>
    <r>
      <t>损耗时间</t>
    </r>
    <r>
      <rPr>
        <sz val="10"/>
        <rFont val="Times New Roman"/>
        <family val="1"/>
      </rPr>
      <t>(1km)</t>
    </r>
    <phoneticPr fontId="7" type="noConversion"/>
  </si>
  <si>
    <t>固定费用率</t>
    <phoneticPr fontId="5" type="noConversion"/>
  </si>
  <si>
    <t>固定費用</t>
    <phoneticPr fontId="5" type="noConversion"/>
  </si>
  <si>
    <t>开机损耗废线（100M/每根芯线）</t>
    <phoneticPr fontId="7" type="noConversion"/>
  </si>
  <si>
    <t>每个制程总废胶(KG)</t>
    <phoneticPr fontId="7" type="noConversion"/>
  </si>
  <si>
    <t>金额</t>
    <phoneticPr fontId="7" type="noConversion"/>
  </si>
  <si>
    <t>費用成本小計</t>
    <phoneticPr fontId="5" type="noConversion"/>
  </si>
  <si>
    <t>集合</t>
    <phoneticPr fontId="5" type="noConversion"/>
  </si>
  <si>
    <t>其他费用</t>
    <phoneticPr fontId="7" type="noConversion"/>
  </si>
  <si>
    <t>UL标签费(RMB/M)</t>
    <phoneticPr fontId="7" type="noConversion"/>
  </si>
  <si>
    <t>运输费(RMB/KG)</t>
    <phoneticPr fontId="7" type="noConversion"/>
  </si>
  <si>
    <t>包装费(RMB/M)</t>
    <phoneticPr fontId="7" type="noConversion"/>
  </si>
  <si>
    <r>
      <t>废品损耗</t>
    </r>
    <r>
      <rPr>
        <sz val="10"/>
        <color indexed="10"/>
        <rFont val="新細明體"/>
        <family val="1"/>
        <charset val="255"/>
      </rPr>
      <t>(%)</t>
    </r>
    <phoneticPr fontId="7" type="noConversion"/>
  </si>
  <si>
    <t>订单开机次数</t>
    <phoneticPr fontId="7" type="noConversion"/>
  </si>
  <si>
    <t>费用总计</t>
    <phoneticPr fontId="7" type="noConversion"/>
  </si>
  <si>
    <t>成本(RMB/M)</t>
    <phoneticPr fontId="7" type="noConversion"/>
  </si>
  <si>
    <r>
      <t>取利售价（</t>
    </r>
    <r>
      <rPr>
        <sz val="10"/>
        <rFont val="Times New Roman"/>
        <family val="1"/>
      </rPr>
      <t>RMB/M</t>
    </r>
    <r>
      <rPr>
        <sz val="10"/>
        <rFont val="宋体"/>
        <family val="3"/>
        <charset val="134"/>
      </rPr>
      <t>）</t>
    </r>
    <phoneticPr fontId="7" type="noConversion"/>
  </si>
  <si>
    <t>净利率</t>
    <phoneticPr fontId="7" type="noConversion"/>
  </si>
  <si>
    <t>报关费(RMB/次)</t>
    <phoneticPr fontId="7" type="noConversion"/>
  </si>
  <si>
    <t>增值税率</t>
    <phoneticPr fontId="7" type="noConversion"/>
  </si>
  <si>
    <t>订单米数</t>
    <phoneticPr fontId="7" type="noConversion"/>
  </si>
  <si>
    <t>照射芯数</t>
    <phoneticPr fontId="7" type="noConversion"/>
  </si>
  <si>
    <t>照射费用(RMB/M)</t>
    <phoneticPr fontId="7" type="noConversion"/>
  </si>
  <si>
    <t>营业费用率</t>
    <phoneticPr fontId="7" type="noConversion"/>
  </si>
  <si>
    <t>月结利息</t>
    <phoneticPr fontId="7" type="noConversion"/>
  </si>
  <si>
    <t>企税税率</t>
    <phoneticPr fontId="7" type="noConversion"/>
  </si>
  <si>
    <t>不取利售价（RMB/M）</t>
    <phoneticPr fontId="7" type="noConversion"/>
  </si>
  <si>
    <t>最终售价（RMB/M）</t>
    <phoneticPr fontId="7" type="noConversion"/>
  </si>
  <si>
    <t>惠州单价0.76</t>
    <phoneticPr fontId="4" type="noConversion"/>
  </si>
  <si>
    <t>NONUL002</t>
    <phoneticPr fontId="5" type="noConversion"/>
  </si>
  <si>
    <t>45/0.12BC*2C</t>
    <phoneticPr fontId="5" type="noConversion"/>
  </si>
  <si>
    <t>一个月50万米，货到德州，月结90天电汇</t>
    <phoneticPr fontId="4" type="noConversion"/>
  </si>
  <si>
    <t>250D尼龙</t>
    <phoneticPr fontId="4" type="noConversion"/>
  </si>
  <si>
    <t>损耗时间(1km)</t>
    <phoneticPr fontId="7" type="noConversion"/>
  </si>
  <si>
    <t>废品损耗(%)</t>
    <phoneticPr fontId="7" type="noConversion"/>
  </si>
  <si>
    <t>取利售价（RMB/M）</t>
    <phoneticPr fontId="7" type="noConversion"/>
  </si>
  <si>
    <t>剃须刀的充电线</t>
    <phoneticPr fontId="4" type="noConversion"/>
  </si>
  <si>
    <t xml:space="preserve">PP ID:1.28mm*2C   </t>
    <phoneticPr fontId="5" type="noConversion"/>
  </si>
  <si>
    <t xml:space="preserve">C86010103 OD:3.3mm   </t>
    <phoneticPr fontId="5" type="noConversion"/>
  </si>
  <si>
    <t>23.8.17日李其峰确认最低成本</t>
    <phoneticPr fontId="4" type="noConversion"/>
  </si>
  <si>
    <t>PA3015001</t>
    <phoneticPr fontId="4" type="noConversion"/>
  </si>
  <si>
    <t>零件料号</t>
  </si>
  <si>
    <t>产品规格</t>
  </si>
  <si>
    <t>成本分析号（青岛得润）</t>
    <phoneticPr fontId="5" type="noConversion"/>
  </si>
  <si>
    <t>Wire</t>
  </si>
  <si>
    <r>
      <t>HVSF-0.5mm</t>
    </r>
    <r>
      <rPr>
        <vertAlign val="superscript"/>
        <sz val="1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(20/0.18TS) 105℃ PSE mark,Black，RoHS2.0</t>
    </r>
  </si>
  <si>
    <t>HVSF002</t>
    <phoneticPr fontId="5" type="noConversion"/>
  </si>
  <si>
    <r>
      <t>HVSF-0.5mm</t>
    </r>
    <r>
      <rPr>
        <vertAlign val="superscript"/>
        <sz val="1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(20/0.18TS) 105℃ PSE mark,Blue，RoHS2.0</t>
    </r>
  </si>
  <si>
    <r>
      <t>HVSF-0.5mm</t>
    </r>
    <r>
      <rPr>
        <vertAlign val="superscript"/>
        <sz val="1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(20/0.18TS) 105℃ PSE mark,Brown，RoHS2.0</t>
    </r>
  </si>
  <si>
    <r>
      <t>HVSF-0.5mm</t>
    </r>
    <r>
      <rPr>
        <vertAlign val="superscript"/>
        <sz val="1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(20/0.18TS) 105℃ PSE mark,GRAY，RoHS2.0</t>
    </r>
  </si>
  <si>
    <r>
      <t>HVSF-0.75mm</t>
    </r>
    <r>
      <rPr>
        <vertAlign val="superscript"/>
        <sz val="1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(30/0.18TS) 105℃ PSE mark,Black，RoHS2.0</t>
    </r>
  </si>
  <si>
    <t>HVSF001</t>
    <phoneticPr fontId="5" type="noConversion"/>
  </si>
  <si>
    <r>
      <t>HVSF-0.75mm</t>
    </r>
    <r>
      <rPr>
        <vertAlign val="superscript"/>
        <sz val="1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(30/0.18TS) 105℃ PSE mark,Gray，RoHS2.0</t>
    </r>
  </si>
  <si>
    <r>
      <t>HVSF-0.75mm</t>
    </r>
    <r>
      <rPr>
        <vertAlign val="superscript"/>
        <sz val="1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(30/0.18TS) 105℃ PSE mark,White，RoHS2.0</t>
    </r>
    <phoneticPr fontId="5" type="noConversion"/>
  </si>
  <si>
    <t>UL1007 16AWG Red</t>
  </si>
  <si>
    <t>W100716003</t>
    <phoneticPr fontId="5" type="noConversion"/>
  </si>
  <si>
    <t>UL1007 16AWG White</t>
  </si>
  <si>
    <t>UL1007 22AWG Blue</t>
  </si>
  <si>
    <t>W100722001</t>
    <phoneticPr fontId="5" type="noConversion"/>
  </si>
  <si>
    <t>UL1007 22AWG Gray</t>
  </si>
  <si>
    <t>UL1007 22AWG Orange</t>
  </si>
  <si>
    <t>UL1007 22AWG Pink</t>
  </si>
  <si>
    <t>UL1007 22AWG Red</t>
  </si>
  <si>
    <t>UL1007 22AWG White</t>
  </si>
  <si>
    <t>UL1007 22AWG Yellow</t>
  </si>
  <si>
    <t>WIRE</t>
  </si>
  <si>
    <t>UL1007 22AWG,BLUE,VW-1 UL,CSA认证，RoHS2.0</t>
  </si>
  <si>
    <t>UL1007 CSA TR-64 26AWG,RED,VW-1，RoHS2.0,无铅,不含DOP</t>
  </si>
  <si>
    <t>W100726001</t>
    <phoneticPr fontId="5" type="noConversion"/>
  </si>
  <si>
    <t>UL1007 CSA TR-64 26AWG,WHITE,VW-1，RoHS2.0,无铅,不含DOP</t>
  </si>
  <si>
    <t>UL1015 16AWG GREEN RoHS2.0</t>
  </si>
  <si>
    <t>W101516002</t>
    <phoneticPr fontId="5" type="noConversion"/>
  </si>
  <si>
    <t>UL1015 18AWG GREEN ROHS2.0</t>
  </si>
  <si>
    <t>W101518002</t>
    <phoneticPr fontId="5" type="noConversion"/>
  </si>
  <si>
    <t>UL1015 20AWG BLACK ROHS2.0</t>
  </si>
  <si>
    <t>W101520002</t>
    <phoneticPr fontId="5" type="noConversion"/>
  </si>
  <si>
    <t>UL1015 20AWG BLUE,RoHS2.0</t>
  </si>
  <si>
    <t>UL1015 20AWG WHITE ROHS2.0</t>
  </si>
  <si>
    <t>UL1015 22AWG GREEN RoHS2.0</t>
  </si>
  <si>
    <t>W101522002</t>
    <phoneticPr fontId="5" type="noConversion"/>
  </si>
  <si>
    <t>UL10368 UL/CSA TR-64 28AWG,RED,VW-1 RoHS2.0,无铅,不含DOP</t>
  </si>
  <si>
    <t>UL10368 UL/CSA TR-64 28AWG,WHITE,VW-1 RoHS2.0,无铅,不含DOP</t>
  </si>
  <si>
    <t>UL10368 UL/CSA TR-64 28AWG,YELLOW,VW-1 RoHS2.0,无铅,不含DOP</t>
  </si>
  <si>
    <t>UL1061 26AWG,BLACK,VW-1 UL认证，RoHS2.0,无铅,不含DOP</t>
  </si>
  <si>
    <t>W106126001</t>
    <phoneticPr fontId="5" type="noConversion"/>
  </si>
  <si>
    <t>UL1061 26AWG,RED,VW-1 UL认证，RoHS2.0,无铅,不含DOP</t>
  </si>
  <si>
    <t>UL1061 28AWG,BLUE OD:0.9mm VW-1 UL认证，RoHS2.0,无铅,不含DOP</t>
  </si>
  <si>
    <t>W106128002</t>
    <phoneticPr fontId="5" type="noConversion"/>
  </si>
  <si>
    <t>UL1061 28AWG,BROWN,OD:0.9mm VW-1 UL认证，RoHS2.0,无铅,不含DOP</t>
  </si>
  <si>
    <t>UL1061 28AWG,Gray OD:0.9mm VW-1 UL认证，RoHS2.0,无铅,不含DOP</t>
  </si>
  <si>
    <t>UL1061 28AWG,GREEN OD:0.9mm VW-1 UL认证，RoHS2.0,无铅,不含DOP</t>
  </si>
  <si>
    <t>UL1061 28AWG,ORANGE OD:0.9mm VW-1 UL认证，RoHS2.0,无铅,不含DOP</t>
  </si>
  <si>
    <t>UL1061 28AWG,RED,OD:0.9mm VW-1 UL认证，RoHS2.0,无铅,不含DOP</t>
  </si>
  <si>
    <t>UL1061 28AWG,VIOLET OD:0.9mm VW-1 UL认证，RoHS2.0,无铅,不含DOP</t>
  </si>
  <si>
    <t>UL1061 28AWG,WHITE,VW-1 UL认证，RoHS2.0,无铅,不含DOP</t>
  </si>
  <si>
    <t>UL1061 28AWG,YELLOW OD:0.9mm VW-1 UL认证，RoHS2.0,无铅,不含DOP</t>
  </si>
  <si>
    <t>UL1061 CSA TR-64 28AWG,BLUE,VW-1 RoHS2.0,无铅,不含DOP</t>
  </si>
  <si>
    <t>UL1061 CSA TR-64 28AWG,WHITE,VW-1 RoHS2.0,无铅,不含DOP</t>
  </si>
  <si>
    <t>UL1061 UL/CSA TR-64 26AWG,BLACK,VW-1 RoHS2.0,无铅,不含DOP</t>
  </si>
  <si>
    <t>UL1061 UL/CSA TR-64 26AWG,WHITE,VW-1 RoHS2.0,无铅,不含DOP</t>
  </si>
  <si>
    <t>UL1569 16AWG Blue</t>
  </si>
  <si>
    <t>W156916001</t>
    <phoneticPr fontId="5" type="noConversion"/>
  </si>
  <si>
    <t>UL1569 16AWG Brown</t>
  </si>
  <si>
    <t>UL1569 16AWG GREEN,RoHS2.0</t>
  </si>
  <si>
    <t>UL1569 16AWG White</t>
  </si>
  <si>
    <t>UL1569 20AWG BROWN,RoHS2.0</t>
  </si>
  <si>
    <t>W156920001</t>
    <phoneticPr fontId="5" type="noConversion"/>
  </si>
  <si>
    <t>UL1569 20AWG GREEN,RoHS2.0</t>
  </si>
  <si>
    <t>UL1569 20AWG ORANGE,RoHS2.0</t>
  </si>
  <si>
    <t>UL1569 20AWG WHITE,RoHS2.0</t>
  </si>
  <si>
    <t>UL1569 22AWG BLACK,RoHS2.0</t>
  </si>
  <si>
    <t>W156922001</t>
    <phoneticPr fontId="5" type="noConversion"/>
  </si>
  <si>
    <t>UL1569 22AWG Brown</t>
  </si>
  <si>
    <t>UL1569 22AWG GREEN,RoHS2.0</t>
  </si>
  <si>
    <t>UL1569 22AWG Orange</t>
  </si>
  <si>
    <t>UL1569 22AWG RED,RoHS2.0</t>
  </si>
  <si>
    <t>UL1569 22AWG Violet</t>
  </si>
  <si>
    <t>UL1569 22AWG White</t>
  </si>
  <si>
    <t>UL1569 26AWG BLACK ROHS2.0</t>
  </si>
  <si>
    <t>W156926001</t>
    <phoneticPr fontId="5" type="noConversion"/>
  </si>
  <si>
    <t>UL1569 26AWG BLUE,RoHS2.0</t>
  </si>
  <si>
    <t>UL1569 26AWG BROWN,RoHS2.0</t>
  </si>
  <si>
    <t>UL1569 26AWG GRAY ROHS2.0</t>
  </si>
  <si>
    <t>UL1569 26AWG GREEN ROHS2.0</t>
  </si>
  <si>
    <t>UL1569 26AWG ORANGE ROHS2.0</t>
  </si>
  <si>
    <t>UL1569 26AWG PINK ROHS2.0</t>
  </si>
  <si>
    <t>UL1569 26AWG RED ROHS2.0</t>
  </si>
  <si>
    <t>UL1569 26AWG SKY BLUE ROHS2.0</t>
  </si>
  <si>
    <t>UL1569 26AWG VOLET ROHS2.0</t>
  </si>
  <si>
    <t>UL1569 26AWG WHITE RoHS2.0</t>
  </si>
  <si>
    <t>UL1569 26AWG YELLOW ROHS2.0</t>
  </si>
  <si>
    <t>UL3271 16AWG(26/0.254),ORANGE VW-1 UL认证，RoHS2.0,无铅,不含DOP</t>
  </si>
  <si>
    <t>W327116004</t>
    <phoneticPr fontId="5" type="noConversion"/>
  </si>
  <si>
    <t>UL3271 16AWG(26/0.254),RED VW-1 UL认证，RoHS2.0,无铅,不含DOP</t>
  </si>
  <si>
    <t>UL3271 16AWG(26/0.254),WHITE VW-1 UL认证，RoHS2.0,无铅,不含DOP</t>
  </si>
  <si>
    <t>UL3289 16AWG BLACK RoHS2.0</t>
  </si>
  <si>
    <t>UL3289 16AWG GRAY RoHS2.0</t>
  </si>
  <si>
    <t>UL3289 16AWG ORANGE RoHS2.0</t>
  </si>
  <si>
    <t>UL3289 16AWG RED RoHS2.0</t>
  </si>
  <si>
    <t>UL3289 16AWG WHITE RoHS2.0</t>
  </si>
  <si>
    <t>UL3289 22AWG BLACK RoHS2.0</t>
  </si>
  <si>
    <t>UL3289 22AWG Blue</t>
  </si>
  <si>
    <t>UL3289 22AWG BROWN RoHS2.0</t>
  </si>
  <si>
    <t>UL3289 22AWG GRAY RoHS2.0</t>
  </si>
  <si>
    <t>UL3289 22AWG Green</t>
  </si>
  <si>
    <t>UL3289 22AWG ORANGE RoHS2.0</t>
  </si>
  <si>
    <t>UL3289 22AWG Red</t>
  </si>
  <si>
    <t>UL3289 22AWG WHITE RoHS2.0</t>
  </si>
  <si>
    <t>UL3289 22AWG Yellow</t>
  </si>
  <si>
    <t>UL3289 26AWG White</t>
  </si>
  <si>
    <t>UL3398 16AWG BLACK,RoHS2.0</t>
  </si>
  <si>
    <t>W339816001</t>
    <phoneticPr fontId="5" type="noConversion"/>
  </si>
  <si>
    <t>UL3398 16AWG GRAR,RoHS2.0</t>
  </si>
  <si>
    <t>UL3398 16AWG ORANGE,RoHS2.0</t>
  </si>
  <si>
    <t>UL3398 16AWG RED,RoHS2.0</t>
  </si>
  <si>
    <t>UL3398 16AWG WHITE,RoHS2.0</t>
  </si>
  <si>
    <t>UL3398 22AWG BLACK,RoHS2.0</t>
  </si>
  <si>
    <t>W339822001</t>
    <phoneticPr fontId="5" type="noConversion"/>
  </si>
  <si>
    <t>UL3398 22AWG BLUE,RoHS2.0</t>
  </si>
  <si>
    <t>UL3398 22AWG BROWN,RoHS2.0</t>
  </si>
  <si>
    <t>UL3398 22AWG GRAY,RoHS2.0</t>
  </si>
  <si>
    <t>UL3398 22AWG GREEN,RoHS2.0</t>
  </si>
  <si>
    <t>UL3398 22AWG ORANGE,RoHS2.0</t>
  </si>
  <si>
    <t>UL3398 22AWG RED,RoHS2.0</t>
  </si>
  <si>
    <t>UL3398 22AWG WHITE,RoHS2.0</t>
  </si>
  <si>
    <t>UL3398 22AWG YELLOW,RoHS2.0</t>
  </si>
  <si>
    <t>UL3398 26AWG WHITE,RoHS2.0</t>
  </si>
  <si>
    <t>W339826001</t>
    <phoneticPr fontId="5" type="noConversion"/>
  </si>
  <si>
    <t>惠州德泓单价</t>
    <phoneticPr fontId="4" type="noConversion"/>
  </si>
  <si>
    <t>序号</t>
    <phoneticPr fontId="4" type="noConversion"/>
  </si>
  <si>
    <t>品名</t>
    <phoneticPr fontId="4" type="noConversion"/>
  </si>
  <si>
    <t>规格</t>
    <phoneticPr fontId="4" type="noConversion"/>
  </si>
  <si>
    <t>成本分析号</t>
    <phoneticPr fontId="4" type="noConversion"/>
  </si>
  <si>
    <t>未税单价</t>
    <phoneticPr fontId="4" type="noConversion"/>
  </si>
  <si>
    <t>利润</t>
    <phoneticPr fontId="4" type="noConversion"/>
  </si>
  <si>
    <t>材料占比</t>
    <phoneticPr fontId="4" type="noConversion"/>
  </si>
  <si>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>PVC ID:2.70 C550*X101</t>
    </r>
    <phoneticPr fontId="5" type="noConversion"/>
  </si>
  <si>
    <r>
      <t>H</t>
    </r>
    <r>
      <rPr>
        <sz val="10"/>
        <rFont val="Times New Roman"/>
        <family val="1"/>
      </rPr>
      <t>VSF</t>
    </r>
    <r>
      <rPr>
        <sz val="10"/>
        <rFont val="宋体"/>
        <family val="3"/>
        <charset val="134"/>
      </rPr>
      <t xml:space="preserve"> </t>
    </r>
    <r>
      <rPr>
        <sz val="10"/>
        <rFont val="Times New Roman"/>
        <family val="1"/>
      </rPr>
      <t xml:space="preserve"> 0.5mm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*1C</t>
    </r>
    <phoneticPr fontId="5" type="noConversion"/>
  </si>
  <si>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>PVC ID:2.50 C550*X101</t>
    </r>
    <phoneticPr fontId="5" type="noConversion"/>
  </si>
  <si>
    <t>货到惠州，月结90天电汇</t>
    <phoneticPr fontId="4" type="noConversion"/>
  </si>
  <si>
    <t>900元/吨+300元送货费</t>
    <phoneticPr fontId="4" type="noConversion"/>
  </si>
  <si>
    <t>送货费</t>
    <phoneticPr fontId="7" type="noConversion"/>
  </si>
  <si>
    <t>HVSF002</t>
    <phoneticPr fontId="4" type="noConversion"/>
  </si>
  <si>
    <t>HVSF001</t>
    <phoneticPr fontId="4" type="noConversion"/>
  </si>
  <si>
    <t>HVSF  0.5mm2*1C</t>
    <phoneticPr fontId="4" type="noConversion"/>
  </si>
  <si>
    <r>
      <t>H</t>
    </r>
    <r>
      <rPr>
        <sz val="10"/>
        <rFont val="宋体"/>
        <family val="1"/>
        <charset val="134"/>
      </rPr>
      <t>VSF</t>
    </r>
    <r>
      <rPr>
        <sz val="10"/>
        <rFont val="宋体"/>
        <family val="3"/>
        <charset val="134"/>
      </rPr>
      <t xml:space="preserve"> </t>
    </r>
    <r>
      <rPr>
        <sz val="10"/>
        <rFont val="宋体"/>
        <family val="1"/>
        <charset val="134"/>
      </rPr>
      <t xml:space="preserve"> 0.75mm</t>
    </r>
    <r>
      <rPr>
        <vertAlign val="superscript"/>
        <sz val="10"/>
        <rFont val="宋体"/>
        <family val="1"/>
        <charset val="134"/>
      </rPr>
      <t>2</t>
    </r>
    <r>
      <rPr>
        <sz val="10"/>
        <rFont val="宋体"/>
        <family val="1"/>
        <charset val="134"/>
      </rPr>
      <t>*1C</t>
    </r>
    <phoneticPr fontId="5" type="noConversion"/>
  </si>
  <si>
    <t>HVSF  0.75mm2*1C</t>
    <phoneticPr fontId="4" type="noConversion"/>
  </si>
  <si>
    <t>26/0.254TC*1C</t>
    <phoneticPr fontId="5" type="noConversion"/>
  </si>
  <si>
    <r>
      <t>UL1007  16</t>
    </r>
    <r>
      <rPr>
        <sz val="10"/>
        <rFont val="宋体"/>
        <family val="3"/>
        <charset val="134"/>
      </rPr>
      <t>AWG</t>
    </r>
    <phoneticPr fontId="5" type="noConversion"/>
  </si>
  <si>
    <r>
      <t>C24510101   C245***01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OD:2.4mm   </t>
    </r>
    <phoneticPr fontId="5" type="noConversion"/>
  </si>
  <si>
    <t>轴装 300轴  2135米/轴</t>
    <phoneticPr fontId="5" type="noConversion"/>
  </si>
  <si>
    <t>17/0.16TC*1C</t>
    <phoneticPr fontId="5" type="noConversion"/>
  </si>
  <si>
    <r>
      <t>UL1007  22</t>
    </r>
    <r>
      <rPr>
        <sz val="10"/>
        <rFont val="宋体"/>
        <family val="3"/>
        <charset val="134"/>
      </rPr>
      <t>AWG</t>
    </r>
    <phoneticPr fontId="5" type="noConversion"/>
  </si>
  <si>
    <t>17/0.155TC*1C</t>
    <phoneticPr fontId="5" type="noConversion"/>
  </si>
  <si>
    <r>
      <t>C245*X101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OD:1.6mm   </t>
    </r>
    <phoneticPr fontId="5" type="noConversion"/>
  </si>
  <si>
    <t>轴装 300型   3050米</t>
    <phoneticPr fontId="5" type="noConversion"/>
  </si>
  <si>
    <t>7/0.16TC*1C</t>
    <phoneticPr fontId="5" type="noConversion"/>
  </si>
  <si>
    <r>
      <t>UL1007  26</t>
    </r>
    <r>
      <rPr>
        <sz val="10"/>
        <rFont val="宋体"/>
        <family val="3"/>
        <charset val="134"/>
      </rPr>
      <t>AWG</t>
    </r>
    <phoneticPr fontId="5" type="noConversion"/>
  </si>
  <si>
    <t>7/0.155TC*1C</t>
    <phoneticPr fontId="5" type="noConversion"/>
  </si>
  <si>
    <r>
      <t>C245***01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OD:1.3mm   </t>
    </r>
    <phoneticPr fontId="5" type="noConversion"/>
  </si>
  <si>
    <t>20/0.180TC*1C</t>
    <phoneticPr fontId="5" type="noConversion"/>
  </si>
  <si>
    <t xml:space="preserve">20/0.178TC*1C </t>
    <phoneticPr fontId="5" type="noConversion"/>
  </si>
  <si>
    <t>30/0.180TC*1C</t>
    <phoneticPr fontId="5" type="noConversion"/>
  </si>
  <si>
    <t xml:space="preserve">30/0.178TC*1C </t>
    <phoneticPr fontId="5" type="noConversion"/>
  </si>
  <si>
    <t>W100716003</t>
    <phoneticPr fontId="4" type="noConversion"/>
  </si>
  <si>
    <t>UL1007  16AWG</t>
    <phoneticPr fontId="4" type="noConversion"/>
  </si>
  <si>
    <t>26/0.254TC*1C</t>
  </si>
  <si>
    <t>W100722001</t>
    <phoneticPr fontId="4" type="noConversion"/>
  </si>
  <si>
    <t>W100726001</t>
    <phoneticPr fontId="4" type="noConversion"/>
  </si>
  <si>
    <t>UL1007  22AWG</t>
    <phoneticPr fontId="4" type="noConversion"/>
  </si>
  <si>
    <t>UL1007  26AWG</t>
    <phoneticPr fontId="4" type="noConversion"/>
  </si>
  <si>
    <t xml:space="preserve">26/0.254TC*1C                         低毒PVC外被 OD:2.4mm   </t>
    <phoneticPr fontId="4" type="noConversion"/>
  </si>
  <si>
    <t xml:space="preserve">17/0.16TC*1C                          低毒PVC外被 OD:1.6mm   </t>
    <phoneticPr fontId="4" type="noConversion"/>
  </si>
  <si>
    <t xml:space="preserve">7/0.16TC*1C                        低毒PVC外被 OD:1.3mm   </t>
    <phoneticPr fontId="4" type="noConversion"/>
  </si>
  <si>
    <t>20/0.180TC*1C                           低毒PVC外被 ID:2.5mm</t>
    <phoneticPr fontId="4" type="noConversion"/>
  </si>
  <si>
    <t>30/0.180TC*1C                        低毒PVC外被 ID:2.7mm</t>
    <phoneticPr fontId="4" type="noConversion"/>
  </si>
  <si>
    <t>26/0.248TC*1C</t>
    <phoneticPr fontId="5" type="noConversion"/>
  </si>
  <si>
    <r>
      <t>UL1015 16</t>
    </r>
    <r>
      <rPr>
        <sz val="10"/>
        <rFont val="宋体"/>
        <family val="3"/>
        <charset val="134"/>
      </rPr>
      <t>AWG</t>
    </r>
    <phoneticPr fontId="5" type="noConversion"/>
  </si>
  <si>
    <r>
      <t xml:space="preserve"> C550*X101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OD:3.1mm   </t>
    </r>
    <phoneticPr fontId="5" type="noConversion"/>
  </si>
  <si>
    <t>41/0.16TC*1C</t>
    <phoneticPr fontId="5" type="noConversion"/>
  </si>
  <si>
    <t>41/0.158TC*1C</t>
    <phoneticPr fontId="5" type="noConversion"/>
  </si>
  <si>
    <r>
      <t>C550***01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OD:2.8mm   </t>
    </r>
    <phoneticPr fontId="5" type="noConversion"/>
  </si>
  <si>
    <t>26/0.16TC*1C</t>
    <phoneticPr fontId="5" type="noConversion"/>
  </si>
  <si>
    <r>
      <t>UL1015 20</t>
    </r>
    <r>
      <rPr>
        <sz val="10"/>
        <rFont val="宋体"/>
        <family val="3"/>
        <charset val="134"/>
      </rPr>
      <t>AWG</t>
    </r>
    <phoneticPr fontId="5" type="noConversion"/>
  </si>
  <si>
    <t>26/0.158TC*1C</t>
    <phoneticPr fontId="5" type="noConversion"/>
  </si>
  <si>
    <r>
      <t xml:space="preserve"> C550***01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OD:2.55mm   </t>
    </r>
    <phoneticPr fontId="5" type="noConversion"/>
  </si>
  <si>
    <r>
      <t>UL1015 22</t>
    </r>
    <r>
      <rPr>
        <sz val="10"/>
        <rFont val="宋体"/>
        <family val="3"/>
        <charset val="134"/>
      </rPr>
      <t>AWG</t>
    </r>
    <phoneticPr fontId="5" type="noConversion"/>
  </si>
  <si>
    <r>
      <t xml:space="preserve"> C550***01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OD:2.40mm   </t>
    </r>
    <phoneticPr fontId="5" type="noConversion"/>
  </si>
  <si>
    <t>W101516002</t>
    <phoneticPr fontId="4" type="noConversion"/>
  </si>
  <si>
    <t>UL1015 16AWG</t>
    <phoneticPr fontId="4" type="noConversion"/>
  </si>
  <si>
    <r>
      <t>UL1015 18</t>
    </r>
    <r>
      <rPr>
        <sz val="10"/>
        <rFont val="Times New Roman"/>
        <family val="3"/>
      </rPr>
      <t>AWG</t>
    </r>
    <phoneticPr fontId="5" type="noConversion"/>
  </si>
  <si>
    <t>UL1015 18AWG</t>
    <phoneticPr fontId="4" type="noConversion"/>
  </si>
  <si>
    <t>W101518002</t>
    <phoneticPr fontId="4" type="noConversion"/>
  </si>
  <si>
    <t>W101520002</t>
    <phoneticPr fontId="4" type="noConversion"/>
  </si>
  <si>
    <t>W101522002</t>
    <phoneticPr fontId="4" type="noConversion"/>
  </si>
  <si>
    <t>UL1015 20AWG</t>
    <phoneticPr fontId="4" type="noConversion"/>
  </si>
  <si>
    <t>UL1015 22AWG</t>
    <phoneticPr fontId="4" type="noConversion"/>
  </si>
  <si>
    <t xml:space="preserve">17/0.16TC*1C                         低毒PVC外被 OD:2.40mm   </t>
    <phoneticPr fontId="4" type="noConversion"/>
  </si>
  <si>
    <t xml:space="preserve">26/0.16TC*1C                           低毒PVC外被 OD:2.55mm   </t>
    <phoneticPr fontId="4" type="noConversion"/>
  </si>
  <si>
    <t xml:space="preserve">41/0.16TC*1C                        低毒PVC外被 OD:2.8mm   </t>
    <phoneticPr fontId="4" type="noConversion"/>
  </si>
  <si>
    <t xml:space="preserve">26/0.248TC*1C                          低毒PVC外被 OD:3.1mm   </t>
    <phoneticPr fontId="4" type="noConversion"/>
  </si>
  <si>
    <t>7/0.127TC*1C</t>
    <phoneticPr fontId="5" type="noConversion"/>
  </si>
  <si>
    <t>倒线</t>
    <phoneticPr fontId="5" type="noConversion"/>
  </si>
  <si>
    <t>W1036828001</t>
    <phoneticPr fontId="4" type="noConversion"/>
  </si>
  <si>
    <t>UL10368 28AWG</t>
    <phoneticPr fontId="4" type="noConversion"/>
  </si>
  <si>
    <t>7/0.127TC*1C                           低毒XLPE外被 OD:0.9mm</t>
    <phoneticPr fontId="4" type="noConversion"/>
  </si>
  <si>
    <t>300轴  4270米</t>
    <phoneticPr fontId="5" type="noConversion"/>
  </si>
  <si>
    <r>
      <t xml:space="preserve">C235*L101 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OD:1.0mm   </t>
    </r>
    <phoneticPr fontId="5" type="noConversion"/>
  </si>
  <si>
    <t>300轴  4880米</t>
    <phoneticPr fontId="5" type="noConversion"/>
  </si>
  <si>
    <r>
      <t>UL1061 28</t>
    </r>
    <r>
      <rPr>
        <sz val="10"/>
        <rFont val="宋体"/>
        <family val="3"/>
        <charset val="134"/>
      </rPr>
      <t>AWG</t>
    </r>
    <phoneticPr fontId="5" type="noConversion"/>
  </si>
  <si>
    <r>
      <t xml:space="preserve">C235*L101 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OD:0.90mm   </t>
    </r>
    <phoneticPr fontId="5" type="noConversion"/>
  </si>
  <si>
    <r>
      <t>UL1061 26</t>
    </r>
    <r>
      <rPr>
        <sz val="10"/>
        <rFont val="Times New Roman"/>
        <family val="3"/>
      </rPr>
      <t>AWG</t>
    </r>
    <phoneticPr fontId="5" type="noConversion"/>
  </si>
  <si>
    <t>UL1061 26AWG</t>
    <phoneticPr fontId="4" type="noConversion"/>
  </si>
  <si>
    <t>UL1061 28AWG</t>
    <phoneticPr fontId="4" type="noConversion"/>
  </si>
  <si>
    <t>W106126001</t>
    <phoneticPr fontId="4" type="noConversion"/>
  </si>
  <si>
    <t>W106128002</t>
    <phoneticPr fontId="4" type="noConversion"/>
  </si>
  <si>
    <t xml:space="preserve">7/0.16TC*1C                           低毒PVC外被 OD:1.0mm   </t>
    <phoneticPr fontId="4" type="noConversion"/>
  </si>
  <si>
    <t xml:space="preserve">7/0.127TC*1C                          低毒PVC外被 OD:0.90mm   </t>
    <phoneticPr fontId="4" type="noConversion"/>
  </si>
  <si>
    <r>
      <t>成</t>
    </r>
    <r>
      <rPr>
        <b/>
        <sz val="20"/>
        <rFont val="Times New Roman"/>
        <family val="1"/>
      </rPr>
      <t xml:space="preserve"> </t>
    </r>
    <r>
      <rPr>
        <b/>
        <sz val="20"/>
        <rFont val="宋体"/>
        <family val="3"/>
        <charset val="134"/>
      </rPr>
      <t>本</t>
    </r>
    <r>
      <rPr>
        <b/>
        <sz val="20"/>
        <rFont val="Times New Roman"/>
        <family val="1"/>
      </rPr>
      <t xml:space="preserve"> </t>
    </r>
    <r>
      <rPr>
        <b/>
        <sz val="20"/>
        <rFont val="宋体"/>
        <family val="3"/>
        <charset val="134"/>
      </rPr>
      <t>分</t>
    </r>
    <r>
      <rPr>
        <b/>
        <sz val="20"/>
        <rFont val="Times New Roman"/>
        <family val="1"/>
      </rPr>
      <t xml:space="preserve"> </t>
    </r>
    <r>
      <rPr>
        <b/>
        <sz val="20"/>
        <rFont val="宋体"/>
        <family val="3"/>
        <charset val="134"/>
      </rPr>
      <t>析</t>
    </r>
    <r>
      <rPr>
        <b/>
        <sz val="20"/>
        <rFont val="Times New Roman"/>
        <family val="1"/>
      </rPr>
      <t xml:space="preserve"> </t>
    </r>
    <r>
      <rPr>
        <b/>
        <sz val="20"/>
        <rFont val="宋体"/>
        <family val="3"/>
        <charset val="134"/>
      </rPr>
      <t>表</t>
    </r>
    <r>
      <rPr>
        <b/>
        <sz val="20"/>
        <rFont val="Times New Roman"/>
        <family val="1"/>
      </rPr>
      <t xml:space="preserve">                                                   </t>
    </r>
    <phoneticPr fontId="5" type="noConversion"/>
  </si>
  <si>
    <t>UL1569  20AWG</t>
  </si>
  <si>
    <t>300轴 2135米</t>
    <phoneticPr fontId="5" type="noConversion"/>
  </si>
  <si>
    <r>
      <t>C550***01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OD:1.6mm   </t>
    </r>
    <phoneticPr fontId="5" type="noConversion"/>
  </si>
  <si>
    <t>300胶轴3050米</t>
    <phoneticPr fontId="5" type="noConversion"/>
  </si>
  <si>
    <r>
      <t>UL1569 26</t>
    </r>
    <r>
      <rPr>
        <sz val="10"/>
        <rFont val="宋体"/>
        <family val="3"/>
        <charset val="134"/>
      </rPr>
      <t>AWG</t>
    </r>
    <phoneticPr fontId="5" type="noConversion"/>
  </si>
  <si>
    <r>
      <t>C545*L103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OD:1.30mm   </t>
    </r>
    <phoneticPr fontId="5" type="noConversion"/>
  </si>
  <si>
    <t>UL1569  16AWG</t>
    <phoneticPr fontId="4" type="noConversion"/>
  </si>
  <si>
    <t>W156916001</t>
    <phoneticPr fontId="4" type="noConversion"/>
  </si>
  <si>
    <r>
      <t>C55010108   C550***01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OD:2.3mm   </t>
    </r>
    <phoneticPr fontId="4" type="noConversion"/>
  </si>
  <si>
    <t>W156920001</t>
    <phoneticPr fontId="4" type="noConversion"/>
  </si>
  <si>
    <r>
      <t>C55010108   C550***01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OD:1.8mm   </t>
    </r>
    <phoneticPr fontId="4" type="noConversion"/>
  </si>
  <si>
    <t>UL1569  22AWG</t>
    <phoneticPr fontId="4" type="noConversion"/>
  </si>
  <si>
    <t>W156922001</t>
    <phoneticPr fontId="4" type="noConversion"/>
  </si>
  <si>
    <t>W156926001</t>
    <phoneticPr fontId="4" type="noConversion"/>
  </si>
  <si>
    <t xml:space="preserve">7/0.16TC*1C                              低毒PVC外被 OD:1.30mm   </t>
    <phoneticPr fontId="4" type="noConversion"/>
  </si>
  <si>
    <t xml:space="preserve">17/0.16TC*1C                             低毒PVC外被 OD:1.6mm   </t>
    <phoneticPr fontId="4" type="noConversion"/>
  </si>
  <si>
    <t xml:space="preserve">26/0.16TC*1C                        低毒PVC外被 OD:1.8mm  </t>
    <phoneticPr fontId="4" type="noConversion"/>
  </si>
  <si>
    <t xml:space="preserve">26/0.254TC*1C                         低毒PVC外被 OD:2.3mm   </t>
    <phoneticPr fontId="4" type="noConversion"/>
  </si>
  <si>
    <t>W327116004</t>
    <phoneticPr fontId="7" type="noConversion"/>
  </si>
  <si>
    <t>UL1569 16AWG</t>
    <phoneticPr fontId="4" type="noConversion"/>
  </si>
  <si>
    <t>UL1569 20AWG</t>
    <phoneticPr fontId="4" type="noConversion"/>
  </si>
  <si>
    <t>UL1569 22AWG</t>
    <phoneticPr fontId="4" type="noConversion"/>
  </si>
  <si>
    <t>UL1569 26AWG</t>
    <phoneticPr fontId="4" type="noConversion"/>
  </si>
  <si>
    <r>
      <t>UL3271</t>
    </r>
    <r>
      <rPr>
        <sz val="10"/>
        <rFont val="宋体"/>
        <family val="1"/>
        <charset val="134"/>
      </rPr>
      <t xml:space="preserve">  16</t>
    </r>
    <r>
      <rPr>
        <sz val="10"/>
        <rFont val="宋体"/>
        <family val="3"/>
        <charset val="134"/>
      </rPr>
      <t>AWG</t>
    </r>
    <phoneticPr fontId="5" type="noConversion"/>
  </si>
  <si>
    <t>W327116004</t>
    <phoneticPr fontId="4" type="noConversion"/>
  </si>
  <si>
    <r>
      <t>125</t>
    </r>
    <r>
      <rPr>
        <sz val="12"/>
        <rFont val="Segoe UI Symbol"/>
        <family val="2"/>
      </rPr>
      <t>℃</t>
    </r>
    <r>
      <rPr>
        <sz val="12"/>
        <rFont val="Times New Roman"/>
        <family val="1"/>
      </rPr>
      <t xml:space="preserve"> XLPE </t>
    </r>
    <r>
      <rPr>
        <sz val="12"/>
        <rFont val="宋体"/>
        <family val="3"/>
        <charset val="134"/>
      </rPr>
      <t>外被</t>
    </r>
    <r>
      <rPr>
        <sz val="12"/>
        <rFont val="Times New Roman"/>
        <family val="1"/>
      </rPr>
      <t xml:space="preserve"> OD:3.10mm   EX5253001  </t>
    </r>
    <r>
      <rPr>
        <sz val="12"/>
        <rFont val="宋体"/>
        <family val="3"/>
        <charset val="134"/>
      </rPr>
      <t>含卤</t>
    </r>
    <r>
      <rPr>
        <sz val="12"/>
        <rFont val="Times New Roman"/>
        <family val="1"/>
      </rPr>
      <t xml:space="preserve"> VW-1</t>
    </r>
    <phoneticPr fontId="5" type="noConversion"/>
  </si>
  <si>
    <t>不能辐照</t>
    <phoneticPr fontId="4" type="noConversion"/>
  </si>
  <si>
    <r>
      <t>UL150</t>
    </r>
    <r>
      <rPr>
        <sz val="12"/>
        <rFont val="Segoe UI Symbol"/>
        <family val="2"/>
      </rPr>
      <t>℃</t>
    </r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 xml:space="preserve">XLPE 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EX1500005</t>
    </r>
    <r>
      <rPr>
        <sz val="12"/>
        <rFont val="宋体"/>
        <family val="3"/>
        <charset val="134"/>
      </rPr>
      <t>）</t>
    </r>
    <r>
      <rPr>
        <sz val="12"/>
        <rFont val="Times New Roman"/>
        <family val="1"/>
      </rPr>
      <t xml:space="preserve">  OD:2.4mm  </t>
    </r>
    <phoneticPr fontId="5" type="noConversion"/>
  </si>
  <si>
    <t>倒线</t>
    <phoneticPr fontId="7" type="noConversion"/>
  </si>
  <si>
    <t>17/0.158TC*1C</t>
    <phoneticPr fontId="5" type="noConversion"/>
  </si>
  <si>
    <t>300胶轴3050米</t>
    <phoneticPr fontId="7" type="noConversion"/>
  </si>
  <si>
    <t>W339816001</t>
    <phoneticPr fontId="4" type="noConversion"/>
  </si>
  <si>
    <t>UL3398  16AWG</t>
    <phoneticPr fontId="4" type="noConversion"/>
  </si>
  <si>
    <t>W339822001</t>
    <phoneticPr fontId="4" type="noConversion"/>
  </si>
  <si>
    <t>UL3398  22AWG</t>
    <phoneticPr fontId="4" type="noConversion"/>
  </si>
  <si>
    <r>
      <t>UL150</t>
    </r>
    <r>
      <rPr>
        <sz val="12"/>
        <rFont val="Segoe UI Symbol"/>
        <family val="2"/>
      </rPr>
      <t>℃</t>
    </r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 xml:space="preserve">XLPE (EX1500005) OD:1.6mm  </t>
    </r>
    <phoneticPr fontId="5" type="noConversion"/>
  </si>
  <si>
    <t>W339826001</t>
    <phoneticPr fontId="4" type="noConversion"/>
  </si>
  <si>
    <t>UL3398  26AWG</t>
    <phoneticPr fontId="4" type="noConversion"/>
  </si>
  <si>
    <r>
      <t>UL150</t>
    </r>
    <r>
      <rPr>
        <sz val="12"/>
        <rFont val="Segoe UI Symbol"/>
        <family val="1"/>
      </rPr>
      <t>℃</t>
    </r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 xml:space="preserve">XLPE (EX1500005) OD:1.3mm  </t>
    </r>
    <phoneticPr fontId="5" type="noConversion"/>
  </si>
  <si>
    <t xml:space="preserve">17/0.16TC*1C                        UL150℃低毒XLPE  OD:1.6mm  </t>
    <phoneticPr fontId="4" type="noConversion"/>
  </si>
  <si>
    <t xml:space="preserve">7/0.16TC*1C                                 UL150℃低毒XLPE  OD:1.3mm  </t>
    <phoneticPr fontId="4" type="noConversion"/>
  </si>
  <si>
    <t>UL3271 16AWG                           阻燃VW-1</t>
    <phoneticPr fontId="4" type="noConversion"/>
  </si>
  <si>
    <t>UL3398 16AWG</t>
    <phoneticPr fontId="4" type="noConversion"/>
  </si>
  <si>
    <t>UL3398 22AWG</t>
    <phoneticPr fontId="4" type="noConversion"/>
  </si>
  <si>
    <t>UL3398 26AWG</t>
    <phoneticPr fontId="4" type="noConversion"/>
  </si>
  <si>
    <t>W328916001</t>
    <phoneticPr fontId="5" type="noConversion"/>
  </si>
  <si>
    <t>W328922001</t>
    <phoneticPr fontId="5" type="noConversion"/>
  </si>
  <si>
    <t>W328926001</t>
    <phoneticPr fontId="5" type="noConversion"/>
  </si>
  <si>
    <t>W1036828001--不能辐照</t>
    <phoneticPr fontId="5" type="noConversion"/>
  </si>
  <si>
    <t>无认证</t>
    <phoneticPr fontId="4" type="noConversion"/>
  </si>
  <si>
    <r>
      <t>UL150</t>
    </r>
    <r>
      <rPr>
        <sz val="12"/>
        <rFont val="Segoe UI Symbol"/>
        <family val="2"/>
      </rPr>
      <t>℃</t>
    </r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 xml:space="preserve">XLPE 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EX1500005</t>
    </r>
    <r>
      <rPr>
        <sz val="12"/>
        <rFont val="宋体"/>
        <family val="3"/>
        <charset val="134"/>
      </rPr>
      <t>）</t>
    </r>
    <r>
      <rPr>
        <sz val="12"/>
        <rFont val="Times New Roman"/>
        <family val="1"/>
      </rPr>
      <t xml:space="preserve">  OD:3.1mm  </t>
    </r>
    <phoneticPr fontId="5" type="noConversion"/>
  </si>
  <si>
    <t>UL3289  22AWG</t>
    <phoneticPr fontId="4" type="noConversion"/>
  </si>
  <si>
    <r>
      <t>UL150</t>
    </r>
    <r>
      <rPr>
        <sz val="12"/>
        <rFont val="Segoe UI Symbol"/>
        <family val="2"/>
      </rPr>
      <t>℃</t>
    </r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 xml:space="preserve">XLPE (EX1500005) OD:2.4mm  </t>
    </r>
    <phoneticPr fontId="5" type="noConversion"/>
  </si>
  <si>
    <t>无认证</t>
    <phoneticPr fontId="7" type="noConversion"/>
  </si>
  <si>
    <r>
      <t>UL150</t>
    </r>
    <r>
      <rPr>
        <sz val="12"/>
        <rFont val="Segoe UI Symbol"/>
        <family val="1"/>
      </rPr>
      <t>℃</t>
    </r>
    <r>
      <rPr>
        <sz val="12"/>
        <rFont val="宋体"/>
        <family val="3"/>
        <charset val="134"/>
      </rPr>
      <t>低毒</t>
    </r>
    <r>
      <rPr>
        <sz val="12"/>
        <rFont val="Times New Roman"/>
        <family val="1"/>
      </rPr>
      <t xml:space="preserve">XLPE (EX1500005) OD:2.1mm  </t>
    </r>
    <phoneticPr fontId="5" type="noConversion"/>
  </si>
  <si>
    <t>UL3289  16AWG</t>
    <phoneticPr fontId="4" type="noConversion"/>
  </si>
  <si>
    <t xml:space="preserve">26/0.254TC*1C                        UL150℃低毒XLPE  OD:3.1mm </t>
    <phoneticPr fontId="4" type="noConversion"/>
  </si>
  <si>
    <t>W328916001</t>
    <phoneticPr fontId="4" type="noConversion"/>
  </si>
  <si>
    <t>W328922001</t>
    <phoneticPr fontId="4" type="noConversion"/>
  </si>
  <si>
    <t>UL3289 26AWG</t>
    <phoneticPr fontId="4" type="noConversion"/>
  </si>
  <si>
    <t>W328926001</t>
    <phoneticPr fontId="4" type="noConversion"/>
  </si>
  <si>
    <t xml:space="preserve">17/0.16TC*1C                         UL150℃低毒XLPE  OD:2.4mm  </t>
    <phoneticPr fontId="4" type="noConversion"/>
  </si>
  <si>
    <t xml:space="preserve">7/0.16TC*1C                       UL150℃低毒XLPE  OD:2.1mm  </t>
    <phoneticPr fontId="4" type="noConversion"/>
  </si>
  <si>
    <t>UL3289无认证，认证费约2万元</t>
    <phoneticPr fontId="4" type="noConversion"/>
  </si>
  <si>
    <t>UL3289 16AWG</t>
    <phoneticPr fontId="4" type="noConversion"/>
  </si>
  <si>
    <t>UL3289 22AWG</t>
    <phoneticPr fontId="4" type="noConversion"/>
  </si>
  <si>
    <t xml:space="preserve">26/0.254TC*1C                          UL150℃低毒XLPE  OD:2.4mm </t>
    <phoneticPr fontId="4" type="noConversion"/>
  </si>
  <si>
    <t xml:space="preserve">26/0.254TC*1C                           125℃ XLPE 外被  OD:3.1mm     </t>
    <phoneticPr fontId="4" type="noConversion"/>
  </si>
  <si>
    <t>备注</t>
    <phoneticPr fontId="4" type="noConversion"/>
  </si>
  <si>
    <t>三位小数售价</t>
    <phoneticPr fontId="4" type="noConversion"/>
  </si>
  <si>
    <t>***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</si>
</sst>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00"/>
    <numFmt numFmtId="177" formatCode="0.00_ "/>
    <numFmt numFmtId="178" formatCode="0.000"/>
    <numFmt numFmtId="179" formatCode="0.0%"/>
    <numFmt numFmtId="180" formatCode="0.000_ "/>
    <numFmt numFmtId="181" formatCode="#,##0_ "/>
    <numFmt numFmtId="182" formatCode="#,##0.0_ "/>
    <numFmt numFmtId="183" formatCode="#,##0.0000_ "/>
    <numFmt numFmtId="184" formatCode="#,##0.00_ "/>
    <numFmt numFmtId="185" formatCode="0.00000"/>
    <numFmt numFmtId="186" formatCode="#,##0.000_ "/>
    <numFmt numFmtId="187" formatCode="0.0000_ "/>
  </numFmts>
  <fonts count="45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b/>
      <sz val="2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新細明體"/>
      <family val="1"/>
      <charset val="255"/>
    </font>
    <font>
      <sz val="9"/>
      <name val="新細明體"/>
      <family val="1"/>
    </font>
    <font>
      <b/>
      <sz val="12"/>
      <color indexed="10"/>
      <name val="Times New Roman"/>
      <family val="1"/>
    </font>
    <font>
      <b/>
      <sz val="12"/>
      <color indexed="10"/>
      <name val="宋体"/>
      <family val="3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sz val="12"/>
      <name val="宋体"/>
      <family val="1"/>
      <charset val="134"/>
    </font>
    <font>
      <sz val="12"/>
      <name val="Times New Roman"/>
      <family val="3"/>
      <charset val="134"/>
    </font>
    <font>
      <sz val="12"/>
      <name val="Times New Roman"/>
      <family val="3"/>
    </font>
    <font>
      <b/>
      <sz val="1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新細明體"/>
      <family val="1"/>
    </font>
    <font>
      <sz val="10"/>
      <color indexed="10"/>
      <name val="宋体"/>
      <family val="3"/>
      <charset val="134"/>
    </font>
    <font>
      <sz val="10"/>
      <color indexed="10"/>
      <name val="新細明體"/>
      <family val="1"/>
      <charset val="255"/>
    </font>
    <font>
      <sz val="10"/>
      <name val="新細明體"/>
      <family val="1"/>
    </font>
    <font>
      <sz val="12"/>
      <color indexed="8"/>
      <name val="新細明體"/>
      <family val="1"/>
    </font>
    <font>
      <sz val="12"/>
      <color indexed="12"/>
      <name val="宋体"/>
      <family val="3"/>
      <charset val="134"/>
    </font>
    <font>
      <b/>
      <sz val="14"/>
      <color indexed="12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name val="Arial"/>
      <family val="2"/>
    </font>
    <font>
      <b/>
      <sz val="1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vertAlign val="superscript"/>
      <sz val="10"/>
      <name val="微软雅黑"/>
      <family val="2"/>
      <charset val="134"/>
    </font>
    <font>
      <sz val="10"/>
      <color theme="1"/>
      <name val="宋体"/>
      <family val="3"/>
      <charset val="134"/>
    </font>
    <font>
      <vertAlign val="superscript"/>
      <sz val="10"/>
      <name val="Times New Roman"/>
      <family val="1"/>
    </font>
    <font>
      <sz val="10"/>
      <name val="宋体"/>
      <family val="1"/>
      <charset val="134"/>
    </font>
    <font>
      <vertAlign val="superscript"/>
      <sz val="10"/>
      <name val="宋体"/>
      <family val="1"/>
      <charset val="134"/>
    </font>
    <font>
      <b/>
      <sz val="16"/>
      <color theme="1"/>
      <name val="宋体"/>
      <family val="3"/>
      <charset val="134"/>
    </font>
    <font>
      <sz val="10"/>
      <name val="Helv"/>
      <family val="2"/>
    </font>
    <font>
      <sz val="10"/>
      <name val="Times New Roman"/>
      <family val="3"/>
    </font>
    <font>
      <b/>
      <sz val="20"/>
      <name val="Times New Roman"/>
      <family val="1"/>
    </font>
    <font>
      <sz val="12"/>
      <name val="Segoe UI Symbol"/>
      <family val="2"/>
    </font>
    <font>
      <sz val="12"/>
      <name val="Segoe UI Symbol"/>
      <family val="1"/>
    </font>
    <font>
      <sz val="10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>
      <alignment vertical="center"/>
    </xf>
    <xf numFmtId="0" fontId="2" fillId="0" borderId="0"/>
    <xf numFmtId="0" fontId="6" fillId="0" borderId="0">
      <alignment vertical="center"/>
    </xf>
    <xf numFmtId="0" fontId="2" fillId="0" borderId="0"/>
    <xf numFmtId="0" fontId="19" fillId="0" borderId="0"/>
    <xf numFmtId="9" fontId="19" fillId="0" borderId="0" applyFont="0" applyFill="0" applyBorder="0" applyAlignment="0" applyProtection="0">
      <alignment vertical="center"/>
    </xf>
    <xf numFmtId="0" fontId="28" fillId="0" borderId="0"/>
    <xf numFmtId="0" fontId="30" fillId="0" borderId="0">
      <alignment vertical="center"/>
    </xf>
    <xf numFmtId="0" fontId="6" fillId="0" borderId="0"/>
    <xf numFmtId="0" fontId="2" fillId="0" borderId="0"/>
    <xf numFmtId="0" fontId="2" fillId="0" borderId="0"/>
  </cellStyleXfs>
  <cellXfs count="369">
    <xf numFmtId="0" fontId="0" fillId="0" borderId="0" xfId="0"/>
    <xf numFmtId="0" fontId="3" fillId="4" borderId="1" xfId="2" applyFont="1" applyFill="1" applyBorder="1" applyAlignment="1">
      <alignment horizontal="center" vertical="center"/>
    </xf>
    <xf numFmtId="0" fontId="6" fillId="4" borderId="1" xfId="3" applyFill="1" applyBorder="1">
      <alignment vertical="center"/>
    </xf>
    <xf numFmtId="0" fontId="2" fillId="4" borderId="1" xfId="3" applyFont="1" applyFill="1" applyBorder="1" applyAlignment="1">
      <alignment horizontal="right"/>
    </xf>
    <xf numFmtId="0" fontId="8" fillId="4" borderId="1" xfId="3" applyFont="1" applyFill="1" applyBorder="1" applyAlignment="1">
      <alignment horizontal="center" vertical="center"/>
    </xf>
    <xf numFmtId="0" fontId="2" fillId="4" borderId="2" xfId="2" applyFont="1" applyFill="1" applyBorder="1" applyAlignment="1" applyProtection="1">
      <alignment horizontal="center" vertical="center"/>
      <protection locked="0"/>
    </xf>
    <xf numFmtId="0" fontId="10" fillId="4" borderId="2" xfId="2" applyFont="1" applyFill="1" applyBorder="1" applyAlignment="1" applyProtection="1">
      <alignment horizontal="center" vertical="center"/>
      <protection locked="0"/>
    </xf>
    <xf numFmtId="0" fontId="2" fillId="4" borderId="2" xfId="2" quotePrefix="1" applyFont="1" applyFill="1" applyBorder="1" applyAlignment="1" applyProtection="1">
      <alignment horizontal="center" vertical="center"/>
      <protection locked="0"/>
    </xf>
    <xf numFmtId="0" fontId="2" fillId="4" borderId="2" xfId="2" applyFill="1" applyBorder="1" applyAlignment="1" applyProtection="1">
      <alignment horizontal="center" vertical="center"/>
      <protection locked="0"/>
    </xf>
    <xf numFmtId="2" fontId="2" fillId="4" borderId="2" xfId="2" applyNumberFormat="1" applyFont="1" applyFill="1" applyBorder="1" applyAlignment="1" applyProtection="1">
      <alignment horizontal="center" vertical="center"/>
      <protection locked="0"/>
    </xf>
    <xf numFmtId="176" fontId="2" fillId="3" borderId="2" xfId="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" fillId="4" borderId="3" xfId="2" quotePrefix="1" applyFont="1" applyFill="1" applyBorder="1" applyAlignment="1" applyProtection="1">
      <alignment horizontal="center" vertical="center"/>
      <protection locked="0"/>
    </xf>
    <xf numFmtId="177" fontId="2" fillId="3" borderId="2" xfId="2" applyNumberFormat="1" applyFont="1" applyFill="1" applyBorder="1" applyAlignment="1" applyProtection="1">
      <alignment horizontal="center" vertical="center"/>
      <protection locked="0"/>
    </xf>
    <xf numFmtId="0" fontId="2" fillId="0" borderId="3" xfId="2" quotePrefix="1" applyFont="1" applyBorder="1" applyAlignment="1" applyProtection="1">
      <alignment horizontal="center" vertical="center"/>
      <protection locked="0"/>
    </xf>
    <xf numFmtId="177" fontId="10" fillId="3" borderId="2" xfId="2" applyNumberFormat="1" applyFont="1" applyFill="1" applyBorder="1" applyAlignment="1" applyProtection="1">
      <alignment horizontal="center" vertical="center"/>
      <protection locked="0"/>
    </xf>
    <xf numFmtId="0" fontId="16" fillId="4" borderId="2" xfId="3" applyFont="1" applyFill="1" applyBorder="1" applyAlignment="1" applyProtection="1">
      <alignment horizontal="center" vertical="center"/>
      <protection locked="0"/>
    </xf>
    <xf numFmtId="178" fontId="17" fillId="4" borderId="2" xfId="3" applyNumberFormat="1" applyFont="1" applyFill="1" applyBorder="1" applyAlignment="1">
      <alignment horizontal="center" vertical="center"/>
    </xf>
    <xf numFmtId="176" fontId="17" fillId="4" borderId="2" xfId="3" applyNumberFormat="1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2" fontId="17" fillId="4" borderId="2" xfId="3" applyNumberFormat="1" applyFont="1" applyFill="1" applyBorder="1" applyAlignment="1">
      <alignment horizontal="center" vertical="center"/>
    </xf>
    <xf numFmtId="179" fontId="19" fillId="0" borderId="0" xfId="5" applyNumberFormat="1" applyAlignment="1">
      <alignment horizontal="center" vertical="center"/>
    </xf>
    <xf numFmtId="0" fontId="12" fillId="4" borderId="2" xfId="2" applyFont="1" applyFill="1" applyBorder="1" applyAlignment="1" applyProtection="1">
      <alignment horizontal="center" vertical="center"/>
      <protection locked="0"/>
    </xf>
    <xf numFmtId="0" fontId="12" fillId="4" borderId="2" xfId="2" applyFont="1" applyFill="1" applyBorder="1" applyAlignment="1" applyProtection="1">
      <alignment horizontal="center" vertical="center" wrapText="1"/>
      <protection locked="0"/>
    </xf>
    <xf numFmtId="0" fontId="12" fillId="4" borderId="2" xfId="2" applyFont="1" applyFill="1" applyBorder="1" applyAlignment="1">
      <alignment horizontal="center" vertical="center" wrapText="1"/>
    </xf>
    <xf numFmtId="180" fontId="2" fillId="0" borderId="2" xfId="2" applyNumberFormat="1" applyFont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/>
    </xf>
    <xf numFmtId="181" fontId="2" fillId="4" borderId="2" xfId="2" applyNumberFormat="1" applyFill="1" applyBorder="1" applyAlignment="1" applyProtection="1">
      <alignment horizontal="center" vertical="center"/>
      <protection locked="0"/>
    </xf>
    <xf numFmtId="182" fontId="2" fillId="4" borderId="2" xfId="2" applyNumberFormat="1" applyFill="1" applyBorder="1" applyAlignment="1" applyProtection="1">
      <alignment horizontal="center" vertical="center"/>
      <protection locked="0"/>
    </xf>
    <xf numFmtId="183" fontId="10" fillId="4" borderId="2" xfId="2" applyNumberFormat="1" applyFont="1" applyFill="1" applyBorder="1" applyAlignment="1" applyProtection="1">
      <alignment vertical="center"/>
      <protection locked="0"/>
    </xf>
    <xf numFmtId="181" fontId="2" fillId="4" borderId="2" xfId="2" applyNumberFormat="1" applyFont="1" applyFill="1" applyBorder="1" applyAlignment="1" applyProtection="1">
      <alignment horizontal="center" vertical="center"/>
      <protection locked="0"/>
    </xf>
    <xf numFmtId="0" fontId="2" fillId="0" borderId="2" xfId="3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>
      <alignment horizontal="center" vertical="center"/>
    </xf>
    <xf numFmtId="181" fontId="2" fillId="0" borderId="2" xfId="2" applyNumberFormat="1" applyBorder="1" applyAlignment="1" applyProtection="1">
      <alignment horizontal="center" vertical="center"/>
      <protection locked="0"/>
    </xf>
    <xf numFmtId="182" fontId="2" fillId="0" borderId="2" xfId="2" applyNumberFormat="1" applyBorder="1" applyAlignment="1" applyProtection="1">
      <alignment horizontal="center" vertical="center"/>
      <protection locked="0"/>
    </xf>
    <xf numFmtId="183" fontId="12" fillId="6" borderId="2" xfId="2" applyNumberFormat="1" applyFont="1" applyFill="1" applyBorder="1" applyAlignment="1" applyProtection="1">
      <alignment horizontal="center" vertical="center" wrapText="1"/>
      <protection locked="0"/>
    </xf>
    <xf numFmtId="0" fontId="20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183" fontId="12" fillId="6" borderId="2" xfId="2" applyNumberFormat="1" applyFont="1" applyFill="1" applyBorder="1" applyAlignment="1" applyProtection="1">
      <alignment horizontal="center" vertical="center"/>
      <protection locked="0"/>
    </xf>
    <xf numFmtId="181" fontId="17" fillId="6" borderId="2" xfId="2" applyNumberFormat="1" applyFont="1" applyFill="1" applyBorder="1" applyAlignment="1" applyProtection="1">
      <alignment horizontal="center" vertical="center"/>
      <protection locked="0"/>
    </xf>
    <xf numFmtId="183" fontId="2" fillId="7" borderId="2" xfId="2" applyNumberFormat="1" applyFill="1" applyBorder="1" applyAlignment="1" applyProtection="1">
      <alignment horizontal="center" vertical="center"/>
      <protection locked="0"/>
    </xf>
    <xf numFmtId="183" fontId="2" fillId="3" borderId="2" xfId="4" applyNumberFormat="1" applyFill="1" applyBorder="1" applyAlignment="1" applyProtection="1">
      <alignment horizontal="center" vertical="center"/>
      <protection locked="0"/>
    </xf>
    <xf numFmtId="9" fontId="22" fillId="7" borderId="2" xfId="1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184" fontId="12" fillId="6" borderId="2" xfId="2" applyNumberFormat="1" applyFont="1" applyFill="1" applyBorder="1" applyAlignment="1">
      <alignment horizontal="center" vertical="center"/>
    </xf>
    <xf numFmtId="183" fontId="12" fillId="6" borderId="3" xfId="2" applyNumberFormat="1" applyFont="1" applyFill="1" applyBorder="1" applyAlignment="1" applyProtection="1">
      <alignment horizontal="center" vertical="center"/>
      <protection locked="0"/>
    </xf>
    <xf numFmtId="185" fontId="22" fillId="7" borderId="2" xfId="0" applyNumberFormat="1" applyFont="1" applyFill="1" applyBorder="1" applyAlignment="1">
      <alignment horizontal="center" vertical="center"/>
    </xf>
    <xf numFmtId="10" fontId="12" fillId="3" borderId="2" xfId="1" applyNumberFormat="1" applyFont="1" applyFill="1" applyBorder="1" applyAlignment="1">
      <alignment horizontal="center" vertical="center"/>
    </xf>
    <xf numFmtId="181" fontId="2" fillId="7" borderId="2" xfId="4" applyNumberFormat="1" applyFill="1" applyBorder="1" applyAlignment="1" applyProtection="1">
      <alignment horizontal="center" vertical="center"/>
      <protection locked="0"/>
    </xf>
    <xf numFmtId="9" fontId="12" fillId="8" borderId="2" xfId="6" applyFont="1" applyFill="1" applyBorder="1" applyAlignment="1" applyProtection="1">
      <alignment horizontal="center" vertical="center"/>
      <protection locked="0"/>
    </xf>
    <xf numFmtId="181" fontId="24" fillId="3" borderId="12" xfId="4" applyNumberFormat="1" applyFont="1" applyFill="1" applyBorder="1" applyAlignment="1" applyProtection="1">
      <alignment horizontal="center" vertical="center"/>
      <protection locked="0"/>
    </xf>
    <xf numFmtId="183" fontId="17" fillId="2" borderId="2" xfId="2" applyNumberFormat="1" applyFont="1" applyFill="1" applyBorder="1" applyAlignment="1" applyProtection="1">
      <alignment horizontal="center" vertical="center"/>
      <protection locked="0"/>
    </xf>
    <xf numFmtId="186" fontId="25" fillId="2" borderId="2" xfId="2" applyNumberFormat="1" applyFont="1" applyFill="1" applyBorder="1" applyAlignment="1" applyProtection="1">
      <alignment horizontal="center" vertical="center"/>
      <protection locked="0"/>
    </xf>
    <xf numFmtId="0" fontId="12" fillId="6" borderId="2" xfId="5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86" fontId="12" fillId="2" borderId="2" xfId="2" applyNumberFormat="1" applyFont="1" applyFill="1" applyBorder="1" applyAlignment="1" applyProtection="1">
      <alignment horizontal="center" vertical="center"/>
      <protection locked="0"/>
    </xf>
    <xf numFmtId="1" fontId="22" fillId="7" borderId="2" xfId="0" applyNumberFormat="1" applyFont="1" applyFill="1" applyBorder="1" applyAlignment="1">
      <alignment horizontal="center" vertical="center"/>
    </xf>
    <xf numFmtId="0" fontId="12" fillId="7" borderId="2" xfId="1" applyNumberFormat="1" applyFont="1" applyFill="1" applyBorder="1" applyAlignment="1">
      <alignment horizontal="center" vertical="center"/>
    </xf>
    <xf numFmtId="10" fontId="12" fillId="3" borderId="2" xfId="6" applyNumberFormat="1" applyFont="1" applyFill="1" applyBorder="1" applyAlignment="1">
      <alignment horizontal="center" vertical="center"/>
    </xf>
    <xf numFmtId="9" fontId="12" fillId="7" borderId="2" xfId="6" applyFont="1" applyFill="1" applyBorder="1" applyAlignment="1">
      <alignment horizontal="center" vertical="center"/>
    </xf>
    <xf numFmtId="0" fontId="2" fillId="4" borderId="1" xfId="3" applyFont="1" applyFill="1" applyBorder="1" applyAlignment="1">
      <alignment horizontal="right" vertical="center"/>
    </xf>
    <xf numFmtId="0" fontId="2" fillId="4" borderId="2" xfId="2" applyFont="1" applyFill="1" applyBorder="1" applyAlignment="1" applyProtection="1">
      <alignment horizontal="center" vertical="center"/>
      <protection locked="0"/>
    </xf>
    <xf numFmtId="0" fontId="26" fillId="0" borderId="0" xfId="0" applyFont="1" applyAlignment="1">
      <alignment vertical="center"/>
    </xf>
    <xf numFmtId="0" fontId="2" fillId="4" borderId="1" xfId="3" applyFont="1" applyFill="1" applyBorder="1" applyAlignment="1">
      <alignment vertical="center"/>
    </xf>
    <xf numFmtId="0" fontId="9" fillId="4" borderId="1" xfId="3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9" fontId="2" fillId="0" borderId="0" xfId="5" applyNumberFormat="1" applyFont="1" applyAlignment="1">
      <alignment horizontal="center" vertical="center"/>
    </xf>
    <xf numFmtId="182" fontId="2" fillId="4" borderId="2" xfId="2" applyNumberFormat="1" applyFont="1" applyFill="1" applyBorder="1" applyAlignment="1" applyProtection="1">
      <alignment horizontal="center" vertical="center"/>
      <protection locked="0"/>
    </xf>
    <xf numFmtId="183" fontId="2" fillId="4" borderId="2" xfId="2" applyNumberFormat="1" applyFont="1" applyFill="1" applyBorder="1" applyAlignment="1" applyProtection="1">
      <alignment vertical="center"/>
      <protection locked="0"/>
    </xf>
    <xf numFmtId="181" fontId="2" fillId="0" borderId="2" xfId="2" applyNumberFormat="1" applyFont="1" applyBorder="1" applyAlignment="1" applyProtection="1">
      <alignment horizontal="center" vertical="center"/>
      <protection locked="0"/>
    </xf>
    <xf numFmtId="182" fontId="2" fillId="0" borderId="2" xfId="2" applyNumberFormat="1" applyFont="1" applyBorder="1" applyAlignment="1" applyProtection="1">
      <alignment horizontal="center" vertical="center"/>
      <protection locked="0"/>
    </xf>
    <xf numFmtId="183" fontId="2" fillId="7" borderId="2" xfId="2" applyNumberFormat="1" applyFont="1" applyFill="1" applyBorder="1" applyAlignment="1" applyProtection="1">
      <alignment horizontal="center" vertical="center"/>
      <protection locked="0"/>
    </xf>
    <xf numFmtId="183" fontId="2" fillId="3" borderId="2" xfId="4" applyNumberFormat="1" applyFont="1" applyFill="1" applyBorder="1" applyAlignment="1" applyProtection="1">
      <alignment horizontal="center" vertical="center"/>
      <protection locked="0"/>
    </xf>
    <xf numFmtId="9" fontId="12" fillId="7" borderId="2" xfId="1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185" fontId="12" fillId="7" borderId="2" xfId="0" applyNumberFormat="1" applyFont="1" applyFill="1" applyBorder="1" applyAlignment="1">
      <alignment horizontal="center" vertical="center"/>
    </xf>
    <xf numFmtId="181" fontId="2" fillId="7" borderId="2" xfId="4" applyNumberFormat="1" applyFont="1" applyFill="1" applyBorder="1" applyAlignment="1" applyProtection="1">
      <alignment horizontal="center" vertical="center"/>
      <protection locked="0"/>
    </xf>
    <xf numFmtId="1" fontId="12" fillId="7" borderId="2" xfId="0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9" fillId="0" borderId="2" xfId="7" quotePrefix="1" applyFont="1" applyFill="1" applyBorder="1" applyAlignment="1" applyProtection="1">
      <alignment horizontal="center" vertical="center"/>
    </xf>
    <xf numFmtId="0" fontId="29" fillId="0" borderId="2" xfId="7" applyFont="1" applyFill="1" applyBorder="1" applyAlignment="1" applyProtection="1">
      <alignment horizontal="center" vertical="center"/>
    </xf>
    <xf numFmtId="0" fontId="12" fillId="0" borderId="0" xfId="0" applyFont="1" applyFill="1" applyAlignment="1">
      <alignment horizontal="left" vertical="center"/>
    </xf>
    <xf numFmtId="1" fontId="31" fillId="0" borderId="2" xfId="8" applyNumberFormat="1" applyFont="1" applyFill="1" applyBorder="1" applyAlignment="1" applyProtection="1">
      <alignment horizontal="left" vertical="center"/>
      <protection locked="0"/>
    </xf>
    <xf numFmtId="0" fontId="31" fillId="0" borderId="2" xfId="8" applyFont="1" applyFill="1" applyBorder="1" applyAlignment="1" applyProtection="1">
      <alignment horizontal="left" vertical="center" wrapText="1"/>
      <protection locked="0"/>
    </xf>
    <xf numFmtId="0" fontId="31" fillId="0" borderId="2" xfId="7" applyFont="1" applyFill="1" applyBorder="1" applyAlignment="1" applyProtection="1">
      <alignment horizontal="left" vertical="center"/>
    </xf>
    <xf numFmtId="1" fontId="31" fillId="8" borderId="2" xfId="8" applyNumberFormat="1" applyFont="1" applyFill="1" applyBorder="1" applyAlignment="1" applyProtection="1">
      <alignment horizontal="left" vertical="center"/>
      <protection locked="0"/>
    </xf>
    <xf numFmtId="0" fontId="31" fillId="8" borderId="2" xfId="8" applyFont="1" applyFill="1" applyBorder="1" applyAlignment="1" applyProtection="1">
      <alignment horizontal="left" vertical="center" wrapText="1"/>
      <protection locked="0"/>
    </xf>
    <xf numFmtId="0" fontId="26" fillId="0" borderId="0" xfId="0" applyFont="1"/>
    <xf numFmtId="0" fontId="3" fillId="4" borderId="0" xfId="4" applyFont="1" applyFill="1" applyAlignment="1">
      <alignment horizontal="center" vertical="center"/>
    </xf>
    <xf numFmtId="0" fontId="2" fillId="4" borderId="0" xfId="0" applyFont="1" applyFill="1" applyBorder="1" applyAlignment="1">
      <alignment horizontal="right"/>
    </xf>
    <xf numFmtId="0" fontId="2" fillId="0" borderId="2" xfId="4" applyFont="1" applyBorder="1" applyAlignment="1" applyProtection="1">
      <alignment horizontal="center" vertical="center"/>
      <protection locked="0"/>
    </xf>
    <xf numFmtId="0" fontId="2" fillId="0" borderId="2" xfId="4" applyFont="1" applyFill="1" applyBorder="1" applyAlignment="1" applyProtection="1">
      <alignment horizontal="center" vertical="center"/>
      <protection locked="0"/>
    </xf>
    <xf numFmtId="0" fontId="10" fillId="0" borderId="2" xfId="4" applyFont="1" applyFill="1" applyBorder="1" applyAlignment="1" applyProtection="1">
      <alignment horizontal="center" vertical="center"/>
      <protection locked="0"/>
    </xf>
    <xf numFmtId="0" fontId="2" fillId="0" borderId="2" xfId="4" quotePrefix="1" applyFont="1" applyFill="1" applyBorder="1" applyAlignment="1" applyProtection="1">
      <alignment horizontal="center" vertical="center"/>
      <protection locked="0"/>
    </xf>
    <xf numFmtId="0" fontId="2" fillId="0" borderId="2" xfId="4" applyFill="1" applyBorder="1" applyAlignment="1" applyProtection="1">
      <alignment horizontal="center" vertical="center"/>
      <protection locked="0"/>
    </xf>
    <xf numFmtId="178" fontId="2" fillId="0" borderId="2" xfId="4" applyNumberFormat="1" applyFont="1" applyFill="1" applyBorder="1" applyAlignment="1" applyProtection="1">
      <alignment horizontal="center" vertical="center"/>
      <protection locked="0"/>
    </xf>
    <xf numFmtId="0" fontId="16" fillId="4" borderId="3" xfId="0" applyFont="1" applyFill="1" applyBorder="1" applyAlignment="1" applyProtection="1">
      <alignment horizontal="center" vertical="center"/>
      <protection locked="0"/>
    </xf>
    <xf numFmtId="176" fontId="17" fillId="4" borderId="2" xfId="0" applyNumberFormat="1" applyFont="1" applyFill="1" applyBorder="1" applyAlignment="1">
      <alignment horizontal="center" vertical="center"/>
    </xf>
    <xf numFmtId="185" fontId="17" fillId="4" borderId="2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/>
    </xf>
    <xf numFmtId="2" fontId="17" fillId="4" borderId="2" xfId="0" applyNumberFormat="1" applyFont="1" applyFill="1" applyBorder="1" applyAlignment="1">
      <alignment horizontal="center" vertical="center"/>
    </xf>
    <xf numFmtId="0" fontId="12" fillId="10" borderId="2" xfId="4" applyFont="1" applyFill="1" applyBorder="1" applyAlignment="1" applyProtection="1">
      <alignment horizontal="center" vertical="center"/>
      <protection locked="0"/>
    </xf>
    <xf numFmtId="0" fontId="12" fillId="10" borderId="2" xfId="4" applyFont="1" applyFill="1" applyBorder="1" applyAlignment="1" applyProtection="1">
      <alignment horizontal="center" vertical="center" wrapText="1"/>
      <protection locked="0"/>
    </xf>
    <xf numFmtId="0" fontId="12" fillId="10" borderId="2" xfId="4" applyFont="1" applyFill="1" applyBorder="1" applyAlignment="1">
      <alignment horizontal="center" vertical="center" wrapText="1"/>
    </xf>
    <xf numFmtId="0" fontId="2" fillId="4" borderId="2" xfId="4" applyFill="1" applyBorder="1" applyAlignment="1" applyProtection="1">
      <alignment horizontal="center" vertical="center"/>
      <protection locked="0"/>
    </xf>
    <xf numFmtId="2" fontId="2" fillId="7" borderId="2" xfId="4" applyNumberFormat="1" applyFont="1" applyFill="1" applyBorder="1" applyAlignment="1">
      <alignment horizontal="center" vertical="center"/>
    </xf>
    <xf numFmtId="0" fontId="2" fillId="7" borderId="2" xfId="4" applyFont="1" applyFill="1" applyBorder="1" applyAlignment="1">
      <alignment horizontal="center" vertical="center"/>
    </xf>
    <xf numFmtId="181" fontId="2" fillId="4" borderId="2" xfId="4" applyNumberFormat="1" applyFill="1" applyBorder="1" applyAlignment="1" applyProtection="1">
      <alignment horizontal="center" vertical="center"/>
      <protection locked="0"/>
    </xf>
    <xf numFmtId="186" fontId="2" fillId="4" borderId="2" xfId="4" applyNumberFormat="1" applyFill="1" applyBorder="1" applyAlignment="1" applyProtection="1">
      <alignment vertical="center"/>
      <protection locked="0"/>
    </xf>
    <xf numFmtId="183" fontId="2" fillId="7" borderId="2" xfId="4" applyNumberFormat="1" applyFill="1" applyBorder="1" applyAlignment="1" applyProtection="1">
      <alignment vertical="center"/>
      <protection locked="0"/>
    </xf>
    <xf numFmtId="187" fontId="0" fillId="7" borderId="2" xfId="0" applyNumberFormat="1" applyFill="1" applyBorder="1" applyAlignment="1">
      <alignment vertical="center"/>
    </xf>
    <xf numFmtId="183" fontId="10" fillId="4" borderId="2" xfId="4" applyNumberFormat="1" applyFont="1" applyFill="1" applyBorder="1" applyAlignment="1" applyProtection="1">
      <alignment vertical="center"/>
      <protection locked="0"/>
    </xf>
    <xf numFmtId="183" fontId="2" fillId="4" borderId="2" xfId="4" applyNumberFormat="1" applyFont="1" applyFill="1" applyBorder="1" applyAlignment="1" applyProtection="1">
      <alignment vertical="center"/>
      <protection locked="0"/>
    </xf>
    <xf numFmtId="183" fontId="10" fillId="7" borderId="2" xfId="4" applyNumberFormat="1" applyFont="1" applyFill="1" applyBorder="1" applyAlignment="1" applyProtection="1">
      <alignment vertical="center"/>
      <protection locked="0"/>
    </xf>
    <xf numFmtId="183" fontId="12" fillId="6" borderId="2" xfId="4" applyNumberFormat="1" applyFont="1" applyFill="1" applyBorder="1" applyAlignment="1" applyProtection="1">
      <alignment horizontal="center" vertical="center" wrapText="1"/>
      <protection locked="0"/>
    </xf>
    <xf numFmtId="183" fontId="12" fillId="6" borderId="2" xfId="4" applyNumberFormat="1" applyFont="1" applyFill="1" applyBorder="1" applyAlignment="1" applyProtection="1">
      <alignment horizontal="center" vertical="center"/>
      <protection locked="0"/>
    </xf>
    <xf numFmtId="183" fontId="17" fillId="6" borderId="2" xfId="4" applyNumberFormat="1" applyFont="1" applyFill="1" applyBorder="1" applyAlignment="1" applyProtection="1">
      <alignment horizontal="center" vertical="center"/>
      <protection locked="0"/>
    </xf>
    <xf numFmtId="183" fontId="2" fillId="7" borderId="2" xfId="4" applyNumberFormat="1" applyFill="1" applyBorder="1" applyAlignment="1" applyProtection="1">
      <alignment horizontal="center" vertical="center"/>
      <protection locked="0"/>
    </xf>
    <xf numFmtId="179" fontId="22" fillId="7" borderId="2" xfId="1" applyNumberFormat="1" applyFont="1" applyFill="1" applyBorder="1" applyAlignment="1">
      <alignment horizontal="center" vertical="center"/>
    </xf>
    <xf numFmtId="0" fontId="23" fillId="7" borderId="0" xfId="0" applyFont="1" applyFill="1" applyBorder="1" applyAlignment="1">
      <alignment horizontal="center" vertical="center"/>
    </xf>
    <xf numFmtId="183" fontId="12" fillId="6" borderId="3" xfId="4" applyNumberFormat="1" applyFont="1" applyFill="1" applyBorder="1" applyAlignment="1" applyProtection="1">
      <alignment horizontal="center" vertical="center"/>
      <protection locked="0"/>
    </xf>
    <xf numFmtId="183" fontId="17" fillId="2" borderId="2" xfId="4" applyNumberFormat="1" applyFont="1" applyFill="1" applyBorder="1" applyAlignment="1" applyProtection="1">
      <alignment horizontal="center" vertical="center"/>
      <protection locked="0"/>
    </xf>
    <xf numFmtId="180" fontId="8" fillId="4" borderId="0" xfId="0" applyNumberFormat="1" applyFont="1" applyFill="1" applyBorder="1" applyAlignment="1">
      <alignment horizontal="center" vertical="center"/>
    </xf>
    <xf numFmtId="180" fontId="2" fillId="0" borderId="2" xfId="4" applyNumberFormat="1" applyFont="1" applyFill="1" applyBorder="1" applyAlignment="1" applyProtection="1">
      <alignment horizontal="center" vertical="center"/>
      <protection locked="0"/>
    </xf>
    <xf numFmtId="180" fontId="10" fillId="0" borderId="2" xfId="4" applyNumberFormat="1" applyFont="1" applyFill="1" applyBorder="1" applyAlignment="1" applyProtection="1">
      <alignment horizontal="center" vertical="center"/>
      <protection locked="0"/>
    </xf>
    <xf numFmtId="180" fontId="17" fillId="4" borderId="2" xfId="0" applyNumberFormat="1" applyFont="1" applyFill="1" applyBorder="1" applyAlignment="1">
      <alignment horizontal="center" vertical="center"/>
    </xf>
    <xf numFmtId="180" fontId="12" fillId="10" borderId="2" xfId="4" applyNumberFormat="1" applyFont="1" applyFill="1" applyBorder="1" applyAlignment="1" applyProtection="1">
      <alignment horizontal="center" vertical="center"/>
      <protection locked="0"/>
    </xf>
    <xf numFmtId="180" fontId="2" fillId="4" borderId="2" xfId="4" applyNumberFormat="1" applyFont="1" applyFill="1" applyBorder="1" applyAlignment="1" applyProtection="1">
      <alignment vertical="center"/>
      <protection locked="0"/>
    </xf>
    <xf numFmtId="180" fontId="17" fillId="6" borderId="2" xfId="4" applyNumberFormat="1" applyFont="1" applyFill="1" applyBorder="1" applyAlignment="1" applyProtection="1">
      <alignment horizontal="center" vertical="center"/>
      <protection locked="0"/>
    </xf>
    <xf numFmtId="180" fontId="25" fillId="2" borderId="2" xfId="4" applyNumberFormat="1" applyFont="1" applyFill="1" applyBorder="1" applyAlignment="1" applyProtection="1">
      <alignment horizontal="center" vertical="center"/>
      <protection locked="0"/>
    </xf>
    <xf numFmtId="180" fontId="12" fillId="2" borderId="2" xfId="4" applyNumberFormat="1" applyFont="1" applyFill="1" applyBorder="1" applyAlignment="1" applyProtection="1">
      <alignment horizontal="center" vertical="center"/>
      <protection locked="0"/>
    </xf>
    <xf numFmtId="180" fontId="0" fillId="0" borderId="0" xfId="0" applyNumberFormat="1"/>
    <xf numFmtId="0" fontId="12" fillId="3" borderId="2" xfId="0" applyFont="1" applyFill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 wrapText="1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vertical="center" wrapText="1"/>
    </xf>
    <xf numFmtId="0" fontId="33" fillId="0" borderId="0" xfId="0" applyFont="1" applyAlignment="1">
      <alignment vertical="center"/>
    </xf>
    <xf numFmtId="180" fontId="26" fillId="0" borderId="0" xfId="0" applyNumberFormat="1" applyFont="1" applyAlignment="1">
      <alignment horizontal="center" vertical="center"/>
    </xf>
    <xf numFmtId="180" fontId="33" fillId="0" borderId="2" xfId="0" applyNumberFormat="1" applyFont="1" applyBorder="1" applyAlignment="1">
      <alignment horizontal="center" vertical="center"/>
    </xf>
    <xf numFmtId="180" fontId="33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 vertical="center"/>
    </xf>
    <xf numFmtId="179" fontId="33" fillId="0" borderId="2" xfId="0" applyNumberFormat="1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12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/>
    </xf>
    <xf numFmtId="0" fontId="3" fillId="4" borderId="1" xfId="4" applyFont="1" applyFill="1" applyBorder="1" applyAlignment="1">
      <alignment horizontal="center" vertical="center"/>
    </xf>
    <xf numFmtId="0" fontId="6" fillId="4" borderId="1" xfId="9" applyFill="1" applyBorder="1" applyAlignment="1">
      <alignment vertical="center"/>
    </xf>
    <xf numFmtId="0" fontId="2" fillId="4" borderId="1" xfId="9" applyFont="1" applyFill="1" applyBorder="1" applyAlignment="1">
      <alignment horizontal="right"/>
    </xf>
    <xf numFmtId="0" fontId="8" fillId="4" borderId="1" xfId="9" applyFont="1" applyFill="1" applyBorder="1" applyAlignment="1">
      <alignment horizontal="center" vertical="center"/>
    </xf>
    <xf numFmtId="0" fontId="2" fillId="4" borderId="2" xfId="4" applyFont="1" applyFill="1" applyBorder="1" applyAlignment="1" applyProtection="1">
      <alignment horizontal="center" vertical="center"/>
      <protection locked="0"/>
    </xf>
    <xf numFmtId="0" fontId="2" fillId="4" borderId="2" xfId="4" applyFill="1" applyBorder="1" applyAlignment="1" applyProtection="1">
      <alignment horizontal="center" vertical="center"/>
      <protection locked="0"/>
    </xf>
    <xf numFmtId="0" fontId="10" fillId="4" borderId="2" xfId="4" applyFont="1" applyFill="1" applyBorder="1" applyAlignment="1" applyProtection="1">
      <alignment horizontal="center" vertical="center"/>
      <protection locked="0"/>
    </xf>
    <xf numFmtId="0" fontId="2" fillId="4" borderId="2" xfId="4" quotePrefix="1" applyFont="1" applyFill="1" applyBorder="1" applyAlignment="1" applyProtection="1">
      <alignment horizontal="center" vertical="center"/>
      <protection locked="0"/>
    </xf>
    <xf numFmtId="178" fontId="2" fillId="4" borderId="2" xfId="4" applyNumberFormat="1" applyFont="1" applyFill="1" applyBorder="1" applyAlignment="1" applyProtection="1">
      <alignment horizontal="center" vertical="center"/>
      <protection locked="0"/>
    </xf>
    <xf numFmtId="2" fontId="2" fillId="4" borderId="2" xfId="4" applyNumberFormat="1" applyFont="1" applyFill="1" applyBorder="1" applyAlignment="1" applyProtection="1">
      <alignment horizontal="center" vertical="center"/>
      <protection locked="0"/>
    </xf>
    <xf numFmtId="0" fontId="16" fillId="4" borderId="2" xfId="9" applyFont="1" applyFill="1" applyBorder="1" applyAlignment="1" applyProtection="1">
      <alignment horizontal="center" vertical="center"/>
      <protection locked="0"/>
    </xf>
    <xf numFmtId="176" fontId="17" fillId="4" borderId="2" xfId="9" applyNumberFormat="1" applyFont="1" applyFill="1" applyBorder="1" applyAlignment="1">
      <alignment horizontal="center" vertical="center"/>
    </xf>
    <xf numFmtId="178" fontId="17" fillId="4" borderId="2" xfId="9" applyNumberFormat="1" applyFont="1" applyFill="1" applyBorder="1" applyAlignment="1">
      <alignment horizontal="center" vertical="center"/>
    </xf>
    <xf numFmtId="0" fontId="18" fillId="4" borderId="2" xfId="9" applyFont="1" applyFill="1" applyBorder="1" applyAlignment="1">
      <alignment horizontal="left" vertical="center"/>
    </xf>
    <xf numFmtId="2" fontId="17" fillId="4" borderId="2" xfId="9" applyNumberFormat="1" applyFont="1" applyFill="1" applyBorder="1" applyAlignment="1">
      <alignment horizontal="center" vertical="center"/>
    </xf>
    <xf numFmtId="0" fontId="12" fillId="4" borderId="2" xfId="4" applyFont="1" applyFill="1" applyBorder="1" applyAlignment="1" applyProtection="1">
      <alignment horizontal="center" vertical="center"/>
      <protection locked="0"/>
    </xf>
    <xf numFmtId="0" fontId="12" fillId="4" borderId="2" xfId="4" applyFont="1" applyFill="1" applyBorder="1" applyAlignment="1" applyProtection="1">
      <alignment horizontal="center" vertical="center" wrapText="1"/>
      <protection locked="0"/>
    </xf>
    <xf numFmtId="0" fontId="12" fillId="4" borderId="2" xfId="4" applyFont="1" applyFill="1" applyBorder="1" applyAlignment="1">
      <alignment horizontal="center" vertical="center" wrapText="1"/>
    </xf>
    <xf numFmtId="0" fontId="2" fillId="2" borderId="2" xfId="4" applyFont="1" applyFill="1" applyBorder="1" applyAlignment="1">
      <alignment horizontal="center" vertical="center"/>
    </xf>
    <xf numFmtId="0" fontId="2" fillId="4" borderId="2" xfId="4" applyFont="1" applyFill="1" applyBorder="1" applyAlignment="1">
      <alignment horizontal="center" vertical="center"/>
    </xf>
    <xf numFmtId="183" fontId="2" fillId="4" borderId="2" xfId="4" applyNumberFormat="1" applyFill="1" applyBorder="1" applyAlignment="1" applyProtection="1">
      <alignment vertical="center"/>
      <protection locked="0"/>
    </xf>
    <xf numFmtId="187" fontId="2" fillId="2" borderId="2" xfId="4" applyNumberFormat="1" applyFont="1" applyFill="1" applyBorder="1" applyAlignment="1">
      <alignment horizontal="center" vertical="center"/>
    </xf>
    <xf numFmtId="0" fontId="20" fillId="6" borderId="2" xfId="9" applyFont="1" applyFill="1" applyBorder="1" applyAlignment="1">
      <alignment horizontal="center" vertical="center"/>
    </xf>
    <xf numFmtId="0" fontId="12" fillId="6" borderId="2" xfId="9" applyFont="1" applyFill="1" applyBorder="1" applyAlignment="1">
      <alignment horizontal="center" vertical="center"/>
    </xf>
    <xf numFmtId="0" fontId="23" fillId="7" borderId="0" xfId="9" applyFont="1" applyFill="1" applyBorder="1" applyAlignment="1">
      <alignment horizontal="center" vertical="center"/>
    </xf>
    <xf numFmtId="0" fontId="12" fillId="2" borderId="2" xfId="9" applyFont="1" applyFill="1" applyBorder="1" applyAlignment="1">
      <alignment horizontal="center" vertical="center"/>
    </xf>
    <xf numFmtId="1" fontId="22" fillId="7" borderId="2" xfId="9" applyNumberFormat="1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/>
    </xf>
    <xf numFmtId="0" fontId="8" fillId="4" borderId="1" xfId="0" applyFont="1" applyFill="1" applyBorder="1" applyAlignment="1">
      <alignment horizontal="center" vertical="center"/>
    </xf>
    <xf numFmtId="0" fontId="16" fillId="4" borderId="2" xfId="0" applyFont="1" applyFill="1" applyBorder="1" applyAlignment="1" applyProtection="1">
      <alignment horizontal="center" vertical="center"/>
      <protection locked="0"/>
    </xf>
    <xf numFmtId="187" fontId="38" fillId="4" borderId="2" xfId="0" applyNumberFormat="1" applyFont="1" applyFill="1" applyBorder="1"/>
    <xf numFmtId="186" fontId="25" fillId="2" borderId="2" xfId="4" applyNumberFormat="1" applyFont="1" applyFill="1" applyBorder="1" applyAlignment="1" applyProtection="1">
      <alignment horizontal="center" vertical="center"/>
      <protection locked="0"/>
    </xf>
    <xf numFmtId="186" fontId="12" fillId="2" borderId="2" xfId="4" applyNumberFormat="1" applyFont="1" applyFill="1" applyBorder="1" applyAlignment="1" applyProtection="1">
      <alignment horizontal="center" vertical="center"/>
      <protection locked="0"/>
    </xf>
    <xf numFmtId="183" fontId="2" fillId="3" borderId="2" xfId="2" applyNumberFormat="1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178" fontId="17" fillId="4" borderId="2" xfId="0" applyNumberFormat="1" applyFont="1" applyFill="1" applyBorder="1" applyAlignment="1">
      <alignment horizontal="center" vertical="center"/>
    </xf>
    <xf numFmtId="187" fontId="0" fillId="4" borderId="2" xfId="0" applyNumberFormat="1" applyFill="1" applyBorder="1"/>
    <xf numFmtId="0" fontId="18" fillId="4" borderId="2" xfId="0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0" fontId="2" fillId="4" borderId="1" xfId="10" applyFill="1" applyBorder="1" applyAlignment="1">
      <alignment vertical="center"/>
    </xf>
    <xf numFmtId="0" fontId="2" fillId="4" borderId="1" xfId="10" applyFont="1" applyFill="1" applyBorder="1" applyAlignment="1">
      <alignment horizontal="right"/>
    </xf>
    <xf numFmtId="49" fontId="8" fillId="4" borderId="1" xfId="10" applyNumberFormat="1" applyFont="1" applyFill="1" applyBorder="1" applyAlignment="1">
      <alignment horizontal="center" vertical="center"/>
    </xf>
    <xf numFmtId="0" fontId="16" fillId="4" borderId="2" xfId="10" applyFont="1" applyFill="1" applyBorder="1" applyAlignment="1" applyProtection="1">
      <alignment horizontal="center" vertical="center"/>
      <protection locked="0"/>
    </xf>
    <xf numFmtId="176" fontId="17" fillId="4" borderId="2" xfId="10" applyNumberFormat="1" applyFont="1" applyFill="1" applyBorder="1" applyAlignment="1">
      <alignment horizontal="center" vertical="center"/>
    </xf>
    <xf numFmtId="178" fontId="17" fillId="4" borderId="2" xfId="10" applyNumberFormat="1" applyFont="1" applyFill="1" applyBorder="1" applyAlignment="1">
      <alignment horizontal="center" vertical="center"/>
    </xf>
    <xf numFmtId="0" fontId="18" fillId="4" borderId="2" xfId="10" applyFont="1" applyFill="1" applyBorder="1" applyAlignment="1">
      <alignment horizontal="left" vertical="center"/>
    </xf>
    <xf numFmtId="2" fontId="17" fillId="4" borderId="2" xfId="10" applyNumberFormat="1" applyFont="1" applyFill="1" applyBorder="1" applyAlignment="1">
      <alignment horizontal="center" vertical="center"/>
    </xf>
    <xf numFmtId="187" fontId="2" fillId="4" borderId="2" xfId="10" applyNumberFormat="1" applyFill="1" applyBorder="1"/>
    <xf numFmtId="0" fontId="20" fillId="6" borderId="2" xfId="10" applyFont="1" applyFill="1" applyBorder="1" applyAlignment="1">
      <alignment horizontal="center" vertical="center"/>
    </xf>
    <xf numFmtId="0" fontId="12" fillId="6" borderId="2" xfId="10" applyFont="1" applyFill="1" applyBorder="1" applyAlignment="1">
      <alignment horizontal="center" vertical="center"/>
    </xf>
    <xf numFmtId="0" fontId="23" fillId="7" borderId="0" xfId="10" applyFont="1" applyFill="1" applyBorder="1" applyAlignment="1">
      <alignment horizontal="center" vertical="center"/>
    </xf>
    <xf numFmtId="0" fontId="12" fillId="2" borderId="2" xfId="10" applyFont="1" applyFill="1" applyBorder="1" applyAlignment="1">
      <alignment horizontal="center" vertical="center"/>
    </xf>
    <xf numFmtId="1" fontId="22" fillId="7" borderId="2" xfId="10" applyNumberFormat="1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vertical="center" wrapText="1"/>
    </xf>
    <xf numFmtId="178" fontId="2" fillId="2" borderId="2" xfId="4" applyNumberFormat="1" applyFont="1" applyFill="1" applyBorder="1" applyAlignment="1">
      <alignment horizontal="center" vertical="center"/>
    </xf>
    <xf numFmtId="176" fontId="2" fillId="2" borderId="2" xfId="4" applyNumberFormat="1" applyFont="1" applyFill="1" applyBorder="1" applyAlignment="1">
      <alignment horizontal="center" vertical="center"/>
    </xf>
    <xf numFmtId="181" fontId="6" fillId="4" borderId="2" xfId="9" applyNumberFormat="1" applyFill="1" applyBorder="1" applyAlignment="1">
      <alignment horizontal="center" vertical="center"/>
    </xf>
    <xf numFmtId="181" fontId="10" fillId="4" borderId="2" xfId="4" applyNumberFormat="1" applyFont="1" applyFill="1" applyBorder="1" applyAlignment="1" applyProtection="1">
      <alignment horizontal="center" vertical="center"/>
      <protection locked="0"/>
    </xf>
    <xf numFmtId="0" fontId="18" fillId="4" borderId="2" xfId="9" applyFont="1" applyFill="1" applyBorder="1" applyAlignment="1">
      <alignment horizontal="center" vertical="center"/>
    </xf>
    <xf numFmtId="182" fontId="2" fillId="4" borderId="2" xfId="4" applyNumberFormat="1" applyFill="1" applyBorder="1" applyAlignment="1" applyProtection="1">
      <alignment horizontal="center" vertical="center"/>
      <protection locked="0"/>
    </xf>
    <xf numFmtId="182" fontId="6" fillId="4" borderId="2" xfId="9" applyNumberFormat="1" applyFill="1" applyBorder="1" applyAlignment="1">
      <alignment horizontal="center" vertical="center"/>
    </xf>
    <xf numFmtId="182" fontId="10" fillId="4" borderId="2" xfId="4" applyNumberFormat="1" applyFont="1" applyFill="1" applyBorder="1" applyAlignment="1" applyProtection="1">
      <alignment horizontal="center" vertical="center"/>
      <protection locked="0"/>
    </xf>
    <xf numFmtId="0" fontId="2" fillId="4" borderId="0" xfId="10" applyFill="1" applyAlignment="1">
      <alignment horizontal="right"/>
    </xf>
    <xf numFmtId="0" fontId="8" fillId="4" borderId="1" xfId="5" applyFont="1" applyFill="1" applyBorder="1" applyAlignment="1">
      <alignment horizontal="center" vertical="center"/>
    </xf>
    <xf numFmtId="0" fontId="2" fillId="4" borderId="2" xfId="4" quotePrefix="1" applyFill="1" applyBorder="1" applyAlignment="1" applyProtection="1">
      <alignment horizontal="center" vertical="center"/>
      <protection locked="0"/>
    </xf>
    <xf numFmtId="178" fontId="2" fillId="4" borderId="2" xfId="4" applyNumberFormat="1" applyFill="1" applyBorder="1" applyAlignment="1" applyProtection="1">
      <alignment horizontal="center" vertical="center"/>
      <protection locked="0"/>
    </xf>
    <xf numFmtId="2" fontId="2" fillId="4" borderId="2" xfId="4" applyNumberFormat="1" applyFill="1" applyBorder="1" applyAlignment="1" applyProtection="1">
      <alignment horizontal="center" vertical="center"/>
      <protection locked="0"/>
    </xf>
    <xf numFmtId="0" fontId="2" fillId="2" borderId="2" xfId="4" applyFill="1" applyBorder="1" applyAlignment="1">
      <alignment horizontal="center" vertical="center"/>
    </xf>
    <xf numFmtId="0" fontId="2" fillId="4" borderId="2" xfId="4" applyFill="1" applyBorder="1" applyAlignment="1">
      <alignment horizontal="center" vertical="center"/>
    </xf>
    <xf numFmtId="182" fontId="2" fillId="4" borderId="2" xfId="10" applyNumberFormat="1" applyFill="1" applyBorder="1" applyAlignment="1">
      <alignment horizontal="center"/>
    </xf>
    <xf numFmtId="187" fontId="2" fillId="2" borderId="2" xfId="4" applyNumberFormat="1" applyFill="1" applyBorder="1" applyAlignment="1">
      <alignment horizontal="center" vertical="center"/>
    </xf>
    <xf numFmtId="179" fontId="22" fillId="7" borderId="2" xfId="6" applyNumberFormat="1" applyFont="1" applyFill="1" applyBorder="1" applyAlignment="1">
      <alignment horizontal="center" vertical="center"/>
    </xf>
    <xf numFmtId="0" fontId="23" fillId="7" borderId="0" xfId="10" applyFont="1" applyFill="1" applyAlignment="1">
      <alignment horizontal="center" vertical="center"/>
    </xf>
    <xf numFmtId="0" fontId="12" fillId="7" borderId="2" xfId="6" applyNumberFormat="1" applyFont="1" applyFill="1" applyBorder="1" applyAlignment="1">
      <alignment horizontal="center" vertical="center"/>
    </xf>
    <xf numFmtId="182" fontId="0" fillId="4" borderId="2" xfId="0" applyNumberFormat="1" applyFill="1" applyBorder="1" applyAlignment="1">
      <alignment horizontal="center" vertical="center"/>
    </xf>
    <xf numFmtId="9" fontId="22" fillId="7" borderId="2" xfId="6" applyFont="1" applyFill="1" applyBorder="1" applyAlignment="1">
      <alignment horizontal="center" vertical="center"/>
    </xf>
    <xf numFmtId="181" fontId="2" fillId="4" borderId="2" xfId="4" applyNumberFormat="1" applyFont="1" applyFill="1" applyBorder="1" applyAlignment="1" applyProtection="1">
      <alignment horizontal="center" vertical="center"/>
      <protection locked="0"/>
    </xf>
    <xf numFmtId="0" fontId="43" fillId="11" borderId="2" xfId="0" applyFont="1" applyFill="1" applyBorder="1" applyAlignment="1">
      <alignment horizontal="center" vertical="center"/>
    </xf>
    <xf numFmtId="0" fontId="19" fillId="0" borderId="0" xfId="5" applyAlignment="1">
      <alignment vertical="center"/>
    </xf>
    <xf numFmtId="0" fontId="19" fillId="4" borderId="1" xfId="5" applyFill="1" applyBorder="1" applyAlignment="1">
      <alignment vertical="center"/>
    </xf>
    <xf numFmtId="0" fontId="2" fillId="4" borderId="1" xfId="5" applyFont="1" applyFill="1" applyBorder="1" applyAlignment="1">
      <alignment horizontal="right"/>
    </xf>
    <xf numFmtId="0" fontId="16" fillId="4" borderId="2" xfId="5" applyFont="1" applyFill="1" applyBorder="1" applyAlignment="1" applyProtection="1">
      <alignment horizontal="center" vertical="center"/>
      <protection locked="0"/>
    </xf>
    <xf numFmtId="176" fontId="17" fillId="4" borderId="2" xfId="5" applyNumberFormat="1" applyFont="1" applyFill="1" applyBorder="1" applyAlignment="1">
      <alignment horizontal="center" vertical="center"/>
    </xf>
    <xf numFmtId="0" fontId="18" fillId="4" borderId="2" xfId="5" applyFont="1" applyFill="1" applyBorder="1" applyAlignment="1">
      <alignment horizontal="left" vertical="center"/>
    </xf>
    <xf numFmtId="2" fontId="17" fillId="4" borderId="2" xfId="5" applyNumberFormat="1" applyFont="1" applyFill="1" applyBorder="1" applyAlignment="1">
      <alignment horizontal="center" vertical="center"/>
    </xf>
    <xf numFmtId="2" fontId="2" fillId="2" borderId="2" xfId="4" applyNumberFormat="1" applyFill="1" applyBorder="1" applyAlignment="1">
      <alignment horizontal="center" vertical="center"/>
    </xf>
    <xf numFmtId="182" fontId="19" fillId="4" borderId="2" xfId="5" applyNumberFormat="1" applyFill="1" applyBorder="1" applyAlignment="1">
      <alignment horizontal="center" vertical="center"/>
    </xf>
    <xf numFmtId="178" fontId="2" fillId="2" borderId="2" xfId="4" applyNumberFormat="1" applyFill="1" applyBorder="1" applyAlignment="1">
      <alignment horizontal="center" vertical="center"/>
    </xf>
    <xf numFmtId="0" fontId="20" fillId="6" borderId="2" xfId="5" applyFont="1" applyFill="1" applyBorder="1" applyAlignment="1">
      <alignment horizontal="center" vertical="center"/>
    </xf>
    <xf numFmtId="0" fontId="23" fillId="7" borderId="0" xfId="5" applyFont="1" applyFill="1" applyAlignment="1">
      <alignment horizontal="center" vertical="center"/>
    </xf>
    <xf numFmtId="0" fontId="12" fillId="2" borderId="2" xfId="5" applyFont="1" applyFill="1" applyBorder="1" applyAlignment="1">
      <alignment horizontal="center" vertical="center"/>
    </xf>
    <xf numFmtId="1" fontId="22" fillId="7" borderId="2" xfId="5" applyNumberFormat="1" applyFont="1" applyFill="1" applyBorder="1" applyAlignment="1">
      <alignment horizontal="center" vertical="center"/>
    </xf>
    <xf numFmtId="0" fontId="2" fillId="0" borderId="0" xfId="5" applyFont="1" applyAlignment="1">
      <alignment horizontal="left" vertical="center"/>
    </xf>
    <xf numFmtId="0" fontId="2" fillId="0" borderId="0" xfId="5" applyFont="1" applyAlignment="1">
      <alignment vertical="center"/>
    </xf>
    <xf numFmtId="0" fontId="33" fillId="0" borderId="2" xfId="0" applyFont="1" applyBorder="1" applyAlignment="1">
      <alignment vertical="center"/>
    </xf>
    <xf numFmtId="180" fontId="33" fillId="0" borderId="0" xfId="0" applyNumberFormat="1" applyFont="1" applyAlignment="1">
      <alignment vertical="center"/>
    </xf>
    <xf numFmtId="0" fontId="14" fillId="4" borderId="2" xfId="2" applyFont="1" applyFill="1" applyBorder="1" applyAlignment="1" applyProtection="1">
      <alignment horizontal="left" vertical="center"/>
      <protection locked="0"/>
    </xf>
    <xf numFmtId="0" fontId="10" fillId="4" borderId="2" xfId="2" applyFont="1" applyFill="1" applyBorder="1" applyAlignment="1" applyProtection="1">
      <alignment horizontal="left" vertical="center"/>
      <protection locked="0"/>
    </xf>
    <xf numFmtId="0" fontId="3" fillId="2" borderId="0" xfId="2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2" fillId="4" borderId="3" xfId="2" applyFont="1" applyFill="1" applyBorder="1" applyAlignment="1" applyProtection="1">
      <alignment horizontal="left" vertical="center"/>
      <protection locked="0"/>
    </xf>
    <xf numFmtId="0" fontId="2" fillId="4" borderId="4" xfId="2" applyFont="1" applyFill="1" applyBorder="1" applyAlignment="1" applyProtection="1">
      <alignment horizontal="left" vertical="center"/>
      <protection locked="0"/>
    </xf>
    <xf numFmtId="0" fontId="2" fillId="4" borderId="5" xfId="2" applyFont="1" applyFill="1" applyBorder="1" applyAlignment="1" applyProtection="1">
      <alignment horizontal="left" vertical="center"/>
      <protection locked="0"/>
    </xf>
    <xf numFmtId="14" fontId="9" fillId="4" borderId="2" xfId="2" applyNumberFormat="1" applyFont="1" applyFill="1" applyBorder="1" applyAlignment="1" applyProtection="1">
      <alignment horizontal="center" vertical="center"/>
      <protection locked="0"/>
    </xf>
    <xf numFmtId="0" fontId="9" fillId="4" borderId="2" xfId="2" applyFont="1" applyFill="1" applyBorder="1" applyAlignment="1" applyProtection="1">
      <alignment horizontal="center" vertical="center"/>
      <protection locked="0"/>
    </xf>
    <xf numFmtId="0" fontId="10" fillId="4" borderId="2" xfId="2" applyFont="1" applyFill="1" applyBorder="1" applyAlignment="1" applyProtection="1">
      <alignment horizontal="left" vertical="center" wrapText="1" shrinkToFit="1"/>
      <protection locked="0"/>
    </xf>
    <xf numFmtId="0" fontId="11" fillId="5" borderId="2" xfId="2" applyFont="1" applyFill="1" applyBorder="1" applyAlignment="1" applyProtection="1">
      <alignment horizontal="center" vertical="center" wrapText="1" shrinkToFit="1"/>
      <protection locked="0"/>
    </xf>
    <xf numFmtId="0" fontId="12" fillId="5" borderId="2" xfId="2" applyFont="1" applyFill="1" applyBorder="1" applyAlignment="1" applyProtection="1">
      <alignment horizontal="center" vertical="center" wrapText="1" shrinkToFit="1"/>
      <protection locked="0"/>
    </xf>
    <xf numFmtId="0" fontId="2" fillId="4" borderId="2" xfId="2" applyFont="1" applyFill="1" applyBorder="1" applyAlignment="1" applyProtection="1">
      <alignment horizontal="center" vertical="center"/>
      <protection locked="0"/>
    </xf>
    <xf numFmtId="0" fontId="2" fillId="4" borderId="2" xfId="2" applyFill="1" applyBorder="1" applyAlignment="1" applyProtection="1">
      <alignment horizontal="center" vertical="center"/>
      <protection locked="0"/>
    </xf>
    <xf numFmtId="0" fontId="10" fillId="4" borderId="3" xfId="2" applyFont="1" applyFill="1" applyBorder="1" applyAlignment="1" applyProtection="1">
      <alignment horizontal="left" vertical="center"/>
      <protection locked="0"/>
    </xf>
    <xf numFmtId="0" fontId="10" fillId="4" borderId="4" xfId="2" applyFont="1" applyFill="1" applyBorder="1" applyAlignment="1" applyProtection="1">
      <alignment horizontal="left" vertical="center"/>
      <protection locked="0"/>
    </xf>
    <xf numFmtId="0" fontId="10" fillId="4" borderId="5" xfId="2" applyFont="1" applyFill="1" applyBorder="1" applyAlignment="1" applyProtection="1">
      <alignment horizontal="left" vertical="center"/>
      <protection locked="0"/>
    </xf>
    <xf numFmtId="0" fontId="2" fillId="4" borderId="2" xfId="2" applyFont="1" applyFill="1" applyBorder="1" applyAlignment="1" applyProtection="1">
      <alignment horizontal="left" vertical="center"/>
      <protection locked="0"/>
    </xf>
    <xf numFmtId="0" fontId="10" fillId="4" borderId="2" xfId="3" applyFont="1" applyFill="1" applyBorder="1" applyAlignment="1">
      <alignment horizontal="left" vertical="center"/>
    </xf>
    <xf numFmtId="0" fontId="16" fillId="6" borderId="6" xfId="2" applyFont="1" applyFill="1" applyBorder="1" applyAlignment="1" applyProtection="1">
      <alignment horizontal="center" vertical="center"/>
      <protection locked="0"/>
    </xf>
    <xf numFmtId="0" fontId="16" fillId="6" borderId="7" xfId="2" applyFont="1" applyFill="1" applyBorder="1" applyAlignment="1" applyProtection="1">
      <alignment horizontal="center" vertical="center"/>
      <protection locked="0"/>
    </xf>
    <xf numFmtId="0" fontId="16" fillId="6" borderId="8" xfId="2" applyFont="1" applyFill="1" applyBorder="1" applyAlignment="1" applyProtection="1">
      <alignment horizontal="center" vertical="center"/>
      <protection locked="0"/>
    </xf>
    <xf numFmtId="0" fontId="16" fillId="6" borderId="9" xfId="2" applyFont="1" applyFill="1" applyBorder="1" applyAlignment="1" applyProtection="1">
      <alignment horizontal="center" vertical="center"/>
      <protection locked="0"/>
    </xf>
    <xf numFmtId="0" fontId="16" fillId="6" borderId="13" xfId="2" applyFont="1" applyFill="1" applyBorder="1" applyAlignment="1" applyProtection="1">
      <alignment horizontal="center" vertical="center"/>
      <protection locked="0"/>
    </xf>
    <xf numFmtId="0" fontId="16" fillId="6" borderId="14" xfId="2" applyFont="1" applyFill="1" applyBorder="1" applyAlignment="1" applyProtection="1">
      <alignment horizontal="center" vertical="center"/>
      <protection locked="0"/>
    </xf>
    <xf numFmtId="183" fontId="12" fillId="2" borderId="2" xfId="2" applyNumberFormat="1" applyFont="1" applyFill="1" applyBorder="1" applyAlignment="1" applyProtection="1">
      <alignment horizontal="center" vertical="center"/>
      <protection locked="0"/>
    </xf>
    <xf numFmtId="0" fontId="1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2" fillId="4" borderId="2" xfId="2" applyFont="1" applyFill="1" applyBorder="1" applyAlignment="1" applyProtection="1">
      <alignment horizontal="left" vertical="center" wrapText="1" shrinkToFit="1"/>
      <protection locked="0"/>
    </xf>
    <xf numFmtId="0" fontId="2" fillId="4" borderId="2" xfId="3" applyFont="1" applyFill="1" applyBorder="1" applyAlignment="1">
      <alignment horizontal="left" vertical="center"/>
    </xf>
    <xf numFmtId="0" fontId="12" fillId="2" borderId="11" xfId="0" applyFont="1" applyFill="1" applyBorder="1" applyAlignment="1">
      <alignment horizontal="center" vertical="center" wrapText="1"/>
    </xf>
    <xf numFmtId="180" fontId="33" fillId="8" borderId="3" xfId="0" applyNumberFormat="1" applyFont="1" applyFill="1" applyBorder="1" applyAlignment="1">
      <alignment horizontal="center" vertical="center"/>
    </xf>
    <xf numFmtId="180" fontId="33" fillId="8" borderId="4" xfId="0" applyNumberFormat="1" applyFont="1" applyFill="1" applyBorder="1" applyAlignment="1">
      <alignment horizontal="center" vertical="center"/>
    </xf>
    <xf numFmtId="180" fontId="33" fillId="8" borderId="5" xfId="0" applyNumberFormat="1" applyFont="1" applyFill="1" applyBorder="1" applyAlignment="1">
      <alignment horizontal="center" vertical="center"/>
    </xf>
    <xf numFmtId="0" fontId="10" fillId="4" borderId="2" xfId="4" applyFont="1" applyFill="1" applyBorder="1" applyAlignment="1" applyProtection="1">
      <alignment horizontal="left" vertical="center"/>
      <protection locked="0"/>
    </xf>
    <xf numFmtId="0" fontId="10" fillId="4" borderId="2" xfId="5" applyFont="1" applyFill="1" applyBorder="1" applyAlignment="1">
      <alignment horizontal="left" vertical="center"/>
    </xf>
    <xf numFmtId="0" fontId="16" fillId="6" borderId="6" xfId="4" applyFont="1" applyFill="1" applyBorder="1" applyAlignment="1" applyProtection="1">
      <alignment horizontal="center" vertical="center"/>
      <protection locked="0"/>
    </xf>
    <xf numFmtId="0" fontId="16" fillId="6" borderId="7" xfId="4" applyFont="1" applyFill="1" applyBorder="1" applyAlignment="1" applyProtection="1">
      <alignment horizontal="center" vertical="center"/>
      <protection locked="0"/>
    </xf>
    <xf numFmtId="0" fontId="16" fillId="6" borderId="8" xfId="4" applyFont="1" applyFill="1" applyBorder="1" applyAlignment="1" applyProtection="1">
      <alignment horizontal="center" vertical="center"/>
      <protection locked="0"/>
    </xf>
    <xf numFmtId="0" fontId="16" fillId="6" borderId="9" xfId="4" applyFont="1" applyFill="1" applyBorder="1" applyAlignment="1" applyProtection="1">
      <alignment horizontal="center" vertical="center"/>
      <protection locked="0"/>
    </xf>
    <xf numFmtId="0" fontId="16" fillId="6" borderId="13" xfId="4" applyFont="1" applyFill="1" applyBorder="1" applyAlignment="1" applyProtection="1">
      <alignment horizontal="center" vertical="center"/>
      <protection locked="0"/>
    </xf>
    <xf numFmtId="0" fontId="16" fillId="6" borderId="14" xfId="4" applyFont="1" applyFill="1" applyBorder="1" applyAlignment="1" applyProtection="1">
      <alignment horizontal="center" vertical="center"/>
      <protection locked="0"/>
    </xf>
    <xf numFmtId="183" fontId="12" fillId="2" borderId="2" xfId="4" applyNumberFormat="1" applyFont="1" applyFill="1" applyBorder="1" applyAlignment="1" applyProtection="1">
      <alignment horizontal="center" vertical="center"/>
      <protection locked="0"/>
    </xf>
    <xf numFmtId="0" fontId="12" fillId="2" borderId="10" xfId="5" applyFont="1" applyFill="1" applyBorder="1" applyAlignment="1">
      <alignment horizontal="center" vertical="center" wrapText="1"/>
    </xf>
    <xf numFmtId="0" fontId="22" fillId="2" borderId="11" xfId="5" applyFont="1" applyFill="1" applyBorder="1" applyAlignment="1">
      <alignment horizontal="center" vertical="center" wrapText="1"/>
    </xf>
    <xf numFmtId="0" fontId="3" fillId="2" borderId="0" xfId="4" applyFont="1" applyFill="1" applyAlignment="1">
      <alignment horizontal="center" vertical="center"/>
    </xf>
    <xf numFmtId="0" fontId="44" fillId="4" borderId="3" xfId="4" applyFont="1" applyFill="1" applyBorder="1" applyAlignment="1" applyProtection="1">
      <alignment horizontal="left" vertical="center"/>
      <protection locked="0"/>
    </xf>
    <xf numFmtId="0" fontId="2" fillId="4" borderId="4" xfId="4" applyFill="1" applyBorder="1" applyAlignment="1" applyProtection="1">
      <alignment horizontal="left" vertical="center"/>
      <protection locked="0"/>
    </xf>
    <xf numFmtId="0" fontId="2" fillId="4" borderId="5" xfId="4" applyFill="1" applyBorder="1" applyAlignment="1" applyProtection="1">
      <alignment horizontal="left" vertical="center"/>
      <protection locked="0"/>
    </xf>
    <xf numFmtId="14" fontId="9" fillId="4" borderId="3" xfId="4" applyNumberFormat="1" applyFont="1" applyFill="1" applyBorder="1" applyAlignment="1" applyProtection="1">
      <alignment horizontal="center" vertical="center"/>
      <protection locked="0"/>
    </xf>
    <xf numFmtId="14" fontId="9" fillId="4" borderId="5" xfId="4" applyNumberFormat="1" applyFont="1" applyFill="1" applyBorder="1" applyAlignment="1" applyProtection="1">
      <alignment horizontal="center" vertical="center"/>
      <protection locked="0"/>
    </xf>
    <xf numFmtId="0" fontId="10" fillId="4" borderId="2" xfId="4" applyFont="1" applyFill="1" applyBorder="1" applyAlignment="1" applyProtection="1">
      <alignment horizontal="left" vertical="center" wrapText="1" shrinkToFit="1"/>
      <protection locked="0"/>
    </xf>
    <xf numFmtId="0" fontId="12" fillId="4" borderId="2" xfId="4" applyFont="1" applyFill="1" applyBorder="1" applyAlignment="1" applyProtection="1">
      <alignment horizontal="center" vertical="center" wrapText="1" shrinkToFit="1"/>
      <protection locked="0"/>
    </xf>
    <xf numFmtId="0" fontId="2" fillId="4" borderId="2" xfId="4" applyFill="1" applyBorder="1" applyAlignment="1" applyProtection="1">
      <alignment horizontal="center" vertical="center"/>
      <protection locked="0"/>
    </xf>
    <xf numFmtId="0" fontId="44" fillId="4" borderId="4" xfId="4" applyFont="1" applyFill="1" applyBorder="1" applyAlignment="1" applyProtection="1">
      <alignment horizontal="left" vertical="center"/>
      <protection locked="0"/>
    </xf>
    <xf numFmtId="0" fontId="44" fillId="4" borderId="5" xfId="4" applyFont="1" applyFill="1" applyBorder="1" applyAlignment="1" applyProtection="1">
      <alignment horizontal="left" vertical="center"/>
      <protection locked="0"/>
    </xf>
    <xf numFmtId="0" fontId="10" fillId="4" borderId="3" xfId="4" applyFont="1" applyFill="1" applyBorder="1" applyAlignment="1" applyProtection="1">
      <alignment horizontal="left" vertical="center" wrapText="1" shrinkToFit="1"/>
      <protection locked="0"/>
    </xf>
    <xf numFmtId="0" fontId="10" fillId="4" borderId="4" xfId="4" applyFont="1" applyFill="1" applyBorder="1" applyAlignment="1" applyProtection="1">
      <alignment horizontal="left" vertical="center" wrapText="1" shrinkToFit="1"/>
      <protection locked="0"/>
    </xf>
    <xf numFmtId="0" fontId="10" fillId="4" borderId="5" xfId="4" applyFont="1" applyFill="1" applyBorder="1" applyAlignment="1" applyProtection="1">
      <alignment horizontal="left" vertical="center" wrapText="1" shrinkToFit="1"/>
      <protection locked="0"/>
    </xf>
    <xf numFmtId="180" fontId="12" fillId="2" borderId="10" xfId="0" applyNumberFormat="1" applyFont="1" applyFill="1" applyBorder="1" applyAlignment="1">
      <alignment horizontal="center" vertical="center" wrapText="1"/>
    </xf>
    <xf numFmtId="180" fontId="22" fillId="2" borderId="11" xfId="0" applyNumberFormat="1" applyFont="1" applyFill="1" applyBorder="1" applyAlignment="1">
      <alignment horizontal="center" vertical="center" wrapText="1"/>
    </xf>
    <xf numFmtId="0" fontId="2" fillId="0" borderId="3" xfId="4" applyFont="1" applyBorder="1" applyAlignment="1" applyProtection="1">
      <alignment horizontal="left" vertical="center"/>
      <protection locked="0"/>
    </xf>
    <xf numFmtId="0" fontId="2" fillId="0" borderId="4" xfId="4" applyFont="1" applyBorder="1" applyAlignment="1" applyProtection="1">
      <alignment horizontal="left" vertical="center"/>
      <protection locked="0"/>
    </xf>
    <xf numFmtId="0" fontId="2" fillId="0" borderId="5" xfId="4" applyFont="1" applyBorder="1" applyAlignment="1" applyProtection="1">
      <alignment horizontal="left" vertical="center"/>
      <protection locked="0"/>
    </xf>
    <xf numFmtId="14" fontId="9" fillId="4" borderId="2" xfId="4" applyNumberFormat="1" applyFont="1" applyFill="1" applyBorder="1" applyAlignment="1" applyProtection="1">
      <alignment horizontal="center" vertical="center"/>
      <protection locked="0"/>
    </xf>
    <xf numFmtId="0" fontId="9" fillId="4" borderId="2" xfId="4" applyFont="1" applyFill="1" applyBorder="1" applyAlignment="1" applyProtection="1">
      <alignment horizontal="center" vertical="center"/>
      <protection locked="0"/>
    </xf>
    <xf numFmtId="0" fontId="10" fillId="0" borderId="2" xfId="4" applyFont="1" applyFill="1" applyBorder="1" applyAlignment="1" applyProtection="1">
      <alignment horizontal="left" vertical="center" wrapText="1" shrinkToFit="1"/>
      <protection locked="0"/>
    </xf>
    <xf numFmtId="0" fontId="12" fillId="9" borderId="2" xfId="4" applyFont="1" applyFill="1" applyBorder="1" applyAlignment="1" applyProtection="1">
      <alignment horizontal="center" vertical="center" wrapText="1" shrinkToFit="1"/>
      <protection locked="0"/>
    </xf>
    <xf numFmtId="0" fontId="2" fillId="0" borderId="2" xfId="4" applyFont="1" applyFill="1" applyBorder="1" applyAlignment="1" applyProtection="1">
      <alignment horizontal="center" vertical="center"/>
      <protection locked="0"/>
    </xf>
    <xf numFmtId="0" fontId="2" fillId="0" borderId="6" xfId="4" applyFill="1" applyBorder="1" applyAlignment="1" applyProtection="1">
      <alignment horizontal="center" vertical="center"/>
      <protection locked="0"/>
    </xf>
    <xf numFmtId="0" fontId="2" fillId="0" borderId="15" xfId="4" applyFill="1" applyBorder="1" applyAlignment="1" applyProtection="1">
      <alignment horizontal="center" vertical="center"/>
      <protection locked="0"/>
    </xf>
    <xf numFmtId="0" fontId="2" fillId="0" borderId="7" xfId="4" applyFill="1" applyBorder="1" applyAlignment="1" applyProtection="1">
      <alignment horizontal="center" vertical="center"/>
      <protection locked="0"/>
    </xf>
    <xf numFmtId="0" fontId="2" fillId="0" borderId="13" xfId="4" applyFill="1" applyBorder="1" applyAlignment="1" applyProtection="1">
      <alignment horizontal="center" vertical="center"/>
      <protection locked="0"/>
    </xf>
    <xf numFmtId="0" fontId="2" fillId="0" borderId="1" xfId="4" applyFill="1" applyBorder="1" applyAlignment="1" applyProtection="1">
      <alignment horizontal="center" vertical="center"/>
      <protection locked="0"/>
    </xf>
    <xf numFmtId="0" fontId="2" fillId="0" borderId="14" xfId="4" applyFill="1" applyBorder="1" applyAlignment="1" applyProtection="1">
      <alignment horizontal="center" vertical="center"/>
      <protection locked="0"/>
    </xf>
    <xf numFmtId="0" fontId="3" fillId="2" borderId="0" xfId="4" applyFont="1" applyFill="1" applyBorder="1" applyAlignment="1">
      <alignment horizontal="center" vertical="center"/>
    </xf>
    <xf numFmtId="0" fontId="2" fillId="4" borderId="3" xfId="4" applyFont="1" applyFill="1" applyBorder="1" applyAlignment="1" applyProtection="1">
      <alignment horizontal="left" vertical="center"/>
      <protection locked="0"/>
    </xf>
    <xf numFmtId="0" fontId="2" fillId="4" borderId="4" xfId="4" applyFont="1" applyFill="1" applyBorder="1" applyAlignment="1" applyProtection="1">
      <alignment horizontal="left" vertical="center"/>
      <protection locked="0"/>
    </xf>
    <xf numFmtId="0" fontId="2" fillId="4" borderId="5" xfId="4" applyFont="1" applyFill="1" applyBorder="1" applyAlignment="1" applyProtection="1">
      <alignment horizontal="left" vertical="center"/>
      <protection locked="0"/>
    </xf>
    <xf numFmtId="0" fontId="11" fillId="4" borderId="2" xfId="4" applyFont="1" applyFill="1" applyBorder="1" applyAlignment="1" applyProtection="1">
      <alignment horizontal="center" vertical="center" wrapText="1" shrinkToFit="1"/>
      <protection locked="0"/>
    </xf>
    <xf numFmtId="0" fontId="10" fillId="0" borderId="3" xfId="4" applyFont="1" applyFill="1" applyBorder="1" applyAlignment="1" applyProtection="1">
      <alignment horizontal="left" vertical="center"/>
      <protection locked="0"/>
    </xf>
    <xf numFmtId="0" fontId="10" fillId="0" borderId="4" xfId="4" applyFont="1" applyFill="1" applyBorder="1" applyAlignment="1" applyProtection="1">
      <alignment horizontal="left" vertical="center"/>
      <protection locked="0"/>
    </xf>
    <xf numFmtId="0" fontId="10" fillId="0" borderId="5" xfId="4" applyFont="1" applyFill="1" applyBorder="1" applyAlignment="1" applyProtection="1">
      <alignment horizontal="left" vertical="center"/>
      <protection locked="0"/>
    </xf>
    <xf numFmtId="0" fontId="14" fillId="0" borderId="3" xfId="4" applyFont="1" applyFill="1" applyBorder="1" applyAlignment="1" applyProtection="1">
      <alignment horizontal="left" vertical="center"/>
      <protection locked="0"/>
    </xf>
    <xf numFmtId="0" fontId="10" fillId="4" borderId="2" xfId="0" applyFont="1" applyFill="1" applyBorder="1" applyAlignment="1">
      <alignment horizontal="left" vertical="center"/>
    </xf>
    <xf numFmtId="0" fontId="12" fillId="2" borderId="10" xfId="9" applyFont="1" applyFill="1" applyBorder="1" applyAlignment="1">
      <alignment horizontal="center" vertical="center" wrapText="1"/>
    </xf>
    <xf numFmtId="0" fontId="22" fillId="2" borderId="11" xfId="9" applyFont="1" applyFill="1" applyBorder="1" applyAlignment="1">
      <alignment horizontal="center" vertical="center" wrapText="1"/>
    </xf>
    <xf numFmtId="0" fontId="2" fillId="4" borderId="2" xfId="4" applyFont="1" applyFill="1" applyBorder="1" applyAlignment="1" applyProtection="1">
      <alignment horizontal="center" vertical="center"/>
      <protection locked="0"/>
    </xf>
    <xf numFmtId="0" fontId="10" fillId="4" borderId="2" xfId="9" applyFont="1" applyFill="1" applyBorder="1" applyAlignment="1">
      <alignment horizontal="left" vertical="center"/>
    </xf>
    <xf numFmtId="0" fontId="2" fillId="4" borderId="6" xfId="4" applyFill="1" applyBorder="1" applyAlignment="1" applyProtection="1">
      <alignment horizontal="left" vertical="center"/>
      <protection locked="0"/>
    </xf>
    <xf numFmtId="0" fontId="2" fillId="4" borderId="15" xfId="4" applyFill="1" applyBorder="1" applyAlignment="1" applyProtection="1">
      <alignment horizontal="left" vertical="center"/>
      <protection locked="0"/>
    </xf>
    <xf numFmtId="0" fontId="2" fillId="4" borderId="7" xfId="4" applyFill="1" applyBorder="1" applyAlignment="1" applyProtection="1">
      <alignment horizontal="left" vertical="center"/>
      <protection locked="0"/>
    </xf>
    <xf numFmtId="0" fontId="2" fillId="4" borderId="13" xfId="4" applyFill="1" applyBorder="1" applyAlignment="1" applyProtection="1">
      <alignment horizontal="left" vertical="center"/>
      <protection locked="0"/>
    </xf>
    <xf numFmtId="0" fontId="2" fillId="4" borderId="1" xfId="4" applyFill="1" applyBorder="1" applyAlignment="1" applyProtection="1">
      <alignment horizontal="left" vertical="center"/>
      <protection locked="0"/>
    </xf>
    <xf numFmtId="0" fontId="2" fillId="4" borderId="14" xfId="4" applyFill="1" applyBorder="1" applyAlignment="1" applyProtection="1">
      <alignment horizontal="left" vertical="center"/>
      <protection locked="0"/>
    </xf>
    <xf numFmtId="0" fontId="10" fillId="4" borderId="3" xfId="4" applyFont="1" applyFill="1" applyBorder="1" applyAlignment="1" applyProtection="1">
      <alignment horizontal="left" vertical="center"/>
      <protection locked="0"/>
    </xf>
    <xf numFmtId="0" fontId="10" fillId="4" borderId="4" xfId="4" applyFont="1" applyFill="1" applyBorder="1" applyAlignment="1" applyProtection="1">
      <alignment horizontal="left" vertical="center"/>
      <protection locked="0"/>
    </xf>
    <xf numFmtId="0" fontId="10" fillId="4" borderId="5" xfId="4" applyFont="1" applyFill="1" applyBorder="1" applyAlignment="1" applyProtection="1">
      <alignment horizontal="left" vertical="center"/>
      <protection locked="0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183" fontId="12" fillId="2" borderId="10" xfId="4" applyNumberFormat="1" applyFont="1" applyFill="1" applyBorder="1" applyAlignment="1" applyProtection="1">
      <alignment horizontal="center" vertical="center"/>
      <protection locked="0"/>
    </xf>
    <xf numFmtId="183" fontId="12" fillId="2" borderId="11" xfId="4" applyNumberFormat="1" applyFont="1" applyFill="1" applyBorder="1" applyAlignment="1" applyProtection="1">
      <alignment horizontal="center" vertical="center"/>
      <protection locked="0"/>
    </xf>
    <xf numFmtId="0" fontId="11" fillId="4" borderId="3" xfId="4" applyFont="1" applyFill="1" applyBorder="1" applyAlignment="1" applyProtection="1">
      <alignment horizontal="center" vertical="center" wrapText="1" shrinkToFit="1"/>
      <protection locked="0"/>
    </xf>
    <xf numFmtId="0" fontId="11" fillId="4" borderId="5" xfId="4" applyFont="1" applyFill="1" applyBorder="1" applyAlignment="1" applyProtection="1">
      <alignment horizontal="center" vertical="center" wrapText="1" shrinkToFit="1"/>
      <protection locked="0"/>
    </xf>
    <xf numFmtId="0" fontId="2" fillId="4" borderId="10" xfId="4" applyFont="1" applyFill="1" applyBorder="1" applyAlignment="1" applyProtection="1">
      <alignment horizontal="center" vertical="center"/>
      <protection locked="0"/>
    </xf>
    <xf numFmtId="0" fontId="2" fillId="4" borderId="11" xfId="4" applyFont="1" applyFill="1" applyBorder="1" applyAlignment="1" applyProtection="1">
      <alignment horizontal="center" vertical="center"/>
      <protection locked="0"/>
    </xf>
    <xf numFmtId="0" fontId="2" fillId="4" borderId="6" xfId="4" applyFill="1" applyBorder="1" applyAlignment="1" applyProtection="1">
      <alignment horizontal="center" vertical="center"/>
      <protection locked="0"/>
    </xf>
    <xf numFmtId="0" fontId="2" fillId="4" borderId="15" xfId="4" applyFill="1" applyBorder="1" applyAlignment="1" applyProtection="1">
      <alignment horizontal="center" vertical="center"/>
      <protection locked="0"/>
    </xf>
    <xf numFmtId="0" fontId="2" fillId="4" borderId="7" xfId="4" applyFill="1" applyBorder="1" applyAlignment="1" applyProtection="1">
      <alignment horizontal="center" vertical="center"/>
      <protection locked="0"/>
    </xf>
    <xf numFmtId="0" fontId="2" fillId="4" borderId="13" xfId="4" applyFill="1" applyBorder="1" applyAlignment="1" applyProtection="1">
      <alignment horizontal="center" vertical="center"/>
      <protection locked="0"/>
    </xf>
    <xf numFmtId="0" fontId="2" fillId="4" borderId="1" xfId="4" applyFill="1" applyBorder="1" applyAlignment="1" applyProtection="1">
      <alignment horizontal="center" vertical="center"/>
      <protection locked="0"/>
    </xf>
    <xf numFmtId="0" fontId="2" fillId="4" borderId="14" xfId="4" applyFill="1" applyBorder="1" applyAlignment="1" applyProtection="1">
      <alignment horizontal="center" vertical="center"/>
      <protection locked="0"/>
    </xf>
    <xf numFmtId="0" fontId="10" fillId="4" borderId="2" xfId="10" applyFont="1" applyFill="1" applyBorder="1" applyAlignment="1">
      <alignment horizontal="left" vertical="center"/>
    </xf>
    <xf numFmtId="0" fontId="12" fillId="2" borderId="10" xfId="10" applyFont="1" applyFill="1" applyBorder="1" applyAlignment="1">
      <alignment horizontal="center" vertical="center" wrapText="1"/>
    </xf>
    <xf numFmtId="0" fontId="22" fillId="2" borderId="11" xfId="10" applyFont="1" applyFill="1" applyBorder="1" applyAlignment="1">
      <alignment horizontal="center" vertical="center" wrapText="1"/>
    </xf>
    <xf numFmtId="0" fontId="2" fillId="4" borderId="3" xfId="11" applyFill="1" applyBorder="1" applyAlignment="1" applyProtection="1">
      <alignment horizontal="left" vertical="center"/>
      <protection locked="0"/>
    </xf>
    <xf numFmtId="0" fontId="2" fillId="4" borderId="4" xfId="11" applyFill="1" applyBorder="1" applyAlignment="1" applyProtection="1">
      <alignment horizontal="left" vertical="center"/>
      <protection locked="0"/>
    </xf>
    <xf numFmtId="0" fontId="2" fillId="4" borderId="5" xfId="11" applyFill="1" applyBorder="1" applyAlignment="1" applyProtection="1">
      <alignment horizontal="left" vertical="center"/>
      <protection locked="0"/>
    </xf>
    <xf numFmtId="0" fontId="12" fillId="3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43" fillId="11" borderId="2" xfId="0" applyFont="1" applyFill="1" applyBorder="1" applyAlignment="1">
      <alignment horizontal="center" vertical="center"/>
    </xf>
  </cellXfs>
  <cellStyles count="12">
    <cellStyle name="百分比" xfId="1" builtinId="5"/>
    <cellStyle name="百分比 2" xfId="6" xr:uid="{F9B066DB-3676-49E3-9058-54933431FD36}"/>
    <cellStyle name="常规" xfId="0" builtinId="0"/>
    <cellStyle name="常规 2" xfId="5" xr:uid="{E5BF2377-EDB8-45A7-A1AA-AED71CAE2C19}"/>
    <cellStyle name="常规 2 3" xfId="8" xr:uid="{5B9C5ABE-5E2C-4246-B85F-514D61452F6F}"/>
    <cellStyle name="常规_(W001)1007" xfId="9" xr:uid="{869D7046-6F64-43FB-BFD4-729D0DA1240A}"/>
    <cellStyle name="常规_57YZW成本分析" xfId="3" xr:uid="{D9894B6C-4EC9-4FB9-85E9-6A7FBBC93670}"/>
    <cellStyle name="常规_Sheet1" xfId="7" xr:uid="{CEE32B98-8B4E-4FFB-89B9-9792056D4685}"/>
    <cellStyle name="常规_韩国LG规格及成本分析  2015.4.21" xfId="10" xr:uid="{E9E17891-C5BF-49B8-AA55-70937B87D708}"/>
    <cellStyle name="一般_HPCEN14P" xfId="4" xr:uid="{6C794AE5-9EA5-4C7D-8A63-22C71F0DED00}"/>
    <cellStyle name="一般_HPCEN14P_(019)SJOW" xfId="2" xr:uid="{B36075B1-64B8-4BF8-B7C8-453BAAE6816C}"/>
    <cellStyle name="一般_HPCEN14P_(W174)10368" xfId="11" xr:uid="{60CCC936-4AA7-4407-8D50-A433C16633CB}"/>
  </cellStyles>
  <dxfs count="3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charset val="134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D25" sqref="D25"/>
    </sheetView>
  </sheetViews>
  <sheetFormatPr defaultRowHeight="14.25"/>
  <cols>
    <col min="8" max="8" width="11.25" customWidth="1"/>
    <col min="9" max="9" width="13.25" customWidth="1"/>
  </cols>
  <sheetData>
    <row r="1" spans="1:12" ht="25.5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49" t="s">
        <v>1</v>
      </c>
      <c r="K1" s="249"/>
    </row>
    <row r="2" spans="1:12" ht="25.5">
      <c r="A2" s="1"/>
      <c r="B2" s="2"/>
      <c r="C2" s="2"/>
      <c r="D2" s="2"/>
      <c r="E2" s="2"/>
      <c r="F2" s="2"/>
      <c r="G2" s="2"/>
      <c r="H2" s="3" t="s">
        <v>2</v>
      </c>
      <c r="I2" s="4" t="s">
        <v>3</v>
      </c>
      <c r="J2" s="249"/>
      <c r="K2" s="249"/>
      <c r="L2" t="s">
        <v>4</v>
      </c>
    </row>
    <row r="3" spans="1:12">
      <c r="A3" s="5" t="s">
        <v>5</v>
      </c>
      <c r="B3" s="250"/>
      <c r="C3" s="251"/>
      <c r="D3" s="251"/>
      <c r="E3" s="251"/>
      <c r="F3" s="252"/>
      <c r="G3" s="5" t="s">
        <v>6</v>
      </c>
      <c r="H3" s="253">
        <v>45155</v>
      </c>
      <c r="I3" s="254"/>
      <c r="J3" t="s">
        <v>7</v>
      </c>
    </row>
    <row r="4" spans="1:12" ht="15.75">
      <c r="A4" s="5" t="s">
        <v>8</v>
      </c>
      <c r="B4" s="255" t="s">
        <v>9</v>
      </c>
      <c r="C4" s="255"/>
      <c r="D4" s="255"/>
      <c r="E4" s="255"/>
      <c r="F4" s="255"/>
      <c r="G4" s="5" t="s">
        <v>10</v>
      </c>
      <c r="H4" s="256" t="s">
        <v>11</v>
      </c>
      <c r="I4" s="257"/>
    </row>
    <row r="5" spans="1:12">
      <c r="A5" s="258" t="s">
        <v>12</v>
      </c>
      <c r="B5" s="258" t="s">
        <v>13</v>
      </c>
      <c r="C5" s="259" t="s">
        <v>14</v>
      </c>
      <c r="D5" s="259"/>
      <c r="E5" s="259"/>
      <c r="F5" s="259"/>
      <c r="G5" s="5" t="s">
        <v>15</v>
      </c>
      <c r="H5" s="5" t="s">
        <v>16</v>
      </c>
      <c r="I5" s="5" t="s">
        <v>17</v>
      </c>
    </row>
    <row r="6" spans="1:12" ht="15.75">
      <c r="A6" s="258"/>
      <c r="B6" s="258"/>
      <c r="C6" s="259"/>
      <c r="D6" s="259"/>
      <c r="E6" s="259"/>
      <c r="F6" s="259"/>
      <c r="G6" s="5" t="s">
        <v>18</v>
      </c>
      <c r="H6" s="6" t="s">
        <v>19</v>
      </c>
      <c r="I6" s="6" t="s">
        <v>20</v>
      </c>
    </row>
    <row r="7" spans="1:12" ht="15.75">
      <c r="A7" s="7" t="s">
        <v>21</v>
      </c>
      <c r="B7" s="8" t="s">
        <v>22</v>
      </c>
      <c r="C7" s="247" t="s">
        <v>9</v>
      </c>
      <c r="D7" s="247"/>
      <c r="E7" s="247"/>
      <c r="F7" s="247"/>
      <c r="G7" s="9">
        <f>0.12^2*0.7854*8.89/10*45*1.015*1.015*2</f>
        <v>0.93224431565495991</v>
      </c>
      <c r="H7" s="10">
        <f>(J7+1300)/1.13/1000+5.41</f>
        <v>68.507345132743367</v>
      </c>
      <c r="I7" s="9">
        <f>G7*H7</f>
        <v>63.865583080612488</v>
      </c>
      <c r="J7" s="11">
        <v>70000</v>
      </c>
    </row>
    <row r="8" spans="1:12" ht="15.75">
      <c r="A8" s="12"/>
      <c r="B8" s="8"/>
      <c r="C8" s="260" t="s">
        <v>23</v>
      </c>
      <c r="D8" s="261"/>
      <c r="E8" s="261"/>
      <c r="F8" s="262"/>
      <c r="G8" s="9">
        <v>0.04</v>
      </c>
      <c r="H8" s="13">
        <v>14.7</v>
      </c>
      <c r="I8" s="9">
        <f>G8*H8</f>
        <v>0.58799999999999997</v>
      </c>
    </row>
    <row r="9" spans="1:12" ht="15.75">
      <c r="A9" s="14">
        <v>2</v>
      </c>
      <c r="B9" s="5" t="s">
        <v>24</v>
      </c>
      <c r="C9" s="246" t="s">
        <v>25</v>
      </c>
      <c r="D9" s="247"/>
      <c r="E9" s="247"/>
      <c r="F9" s="247"/>
      <c r="G9" s="9">
        <f>(1.4^2-0.93^2*0.85)*0.7854*1.04/10*1.015*2</f>
        <v>0.20309435954807992</v>
      </c>
      <c r="H9" s="15">
        <f>34.5/1.13</f>
        <v>30.530973451327437</v>
      </c>
      <c r="I9" s="9">
        <f>G9*H9</f>
        <v>6.2006684994767767</v>
      </c>
      <c r="J9" t="s">
        <v>26</v>
      </c>
    </row>
    <row r="10" spans="1:12" ht="15.75">
      <c r="A10" s="7">
        <v>4</v>
      </c>
      <c r="B10" s="5" t="s">
        <v>27</v>
      </c>
      <c r="C10" s="263" t="s">
        <v>28</v>
      </c>
      <c r="D10" s="247"/>
      <c r="E10" s="247"/>
      <c r="F10" s="247"/>
      <c r="G10" s="9">
        <f>(3.85^2-1.4^2*2)*0.7854*1.47/10</f>
        <v>1.2587350545</v>
      </c>
      <c r="H10" s="15">
        <v>9.2100000000000009</v>
      </c>
      <c r="I10" s="9">
        <f>G10*H10</f>
        <v>11.592949851945001</v>
      </c>
    </row>
    <row r="11" spans="1:12" ht="15.75">
      <c r="A11" s="16" t="s">
        <v>29</v>
      </c>
      <c r="B11" s="17">
        <f>I11/100</f>
        <v>0.82247201432034278</v>
      </c>
      <c r="C11" s="264" t="s">
        <v>30</v>
      </c>
      <c r="D11" s="264"/>
      <c r="E11" s="264"/>
      <c r="F11" s="264"/>
      <c r="G11" s="18">
        <f>SUM(G7:G10)/100</f>
        <v>2.4340737297030398E-2</v>
      </c>
      <c r="H11" s="19" t="s">
        <v>31</v>
      </c>
      <c r="I11" s="20">
        <f>SUM(I7:I10)</f>
        <v>82.247201432034274</v>
      </c>
      <c r="J11" s="21">
        <f>B11*1.13/I22</f>
        <v>0.72831232956032066</v>
      </c>
    </row>
    <row r="12" spans="1:12" ht="36">
      <c r="A12" s="22" t="s">
        <v>13</v>
      </c>
      <c r="B12" s="23" t="s">
        <v>32</v>
      </c>
      <c r="C12" s="23" t="s">
        <v>33</v>
      </c>
      <c r="D12" s="22" t="s">
        <v>34</v>
      </c>
      <c r="E12" s="22" t="s">
        <v>35</v>
      </c>
      <c r="F12" s="23" t="s">
        <v>36</v>
      </c>
      <c r="G12" s="23" t="s">
        <v>37</v>
      </c>
      <c r="H12" s="24" t="s">
        <v>38</v>
      </c>
      <c r="I12" s="22" t="s">
        <v>39</v>
      </c>
    </row>
    <row r="13" spans="1:12" ht="15.75">
      <c r="A13" s="8" t="s">
        <v>22</v>
      </c>
      <c r="B13" s="25">
        <f>0.3*2</f>
        <v>0.6</v>
      </c>
      <c r="C13" s="26">
        <v>0</v>
      </c>
      <c r="D13" s="27">
        <v>10</v>
      </c>
      <c r="E13" s="27">
        <f>B13*D13*G20/1000+C13*D13*G18</f>
        <v>300</v>
      </c>
      <c r="F13" s="28">
        <v>0.5</v>
      </c>
      <c r="G13" s="28">
        <v>0</v>
      </c>
      <c r="H13" s="29">
        <f>F13*I7</f>
        <v>31.932791540306244</v>
      </c>
      <c r="I13" s="30">
        <f>E13+H13*G18</f>
        <v>331.93279154030625</v>
      </c>
    </row>
    <row r="14" spans="1:12" ht="15.75">
      <c r="A14" s="5" t="s">
        <v>24</v>
      </c>
      <c r="B14" s="25">
        <f>1000/60/200*2</f>
        <v>0.16666666666666669</v>
      </c>
      <c r="C14" s="26">
        <v>0</v>
      </c>
      <c r="D14" s="27">
        <v>110</v>
      </c>
      <c r="E14" s="27">
        <f>B14*D14*G20/1000+C14*D14*G18</f>
        <v>916.66666666666674</v>
      </c>
      <c r="F14" s="28">
        <v>0.5</v>
      </c>
      <c r="G14" s="28">
        <v>2</v>
      </c>
      <c r="H14" s="29">
        <f>F14*(I9+I7)+G14*H9</f>
        <v>96.095072692699517</v>
      </c>
      <c r="I14" s="30">
        <f>E14+H14*G18</f>
        <v>1012.7617393593663</v>
      </c>
    </row>
    <row r="15" spans="1:12" ht="15.75">
      <c r="A15" s="31" t="s">
        <v>40</v>
      </c>
      <c r="B15" s="25">
        <f>1000/60/30</f>
        <v>0.55555555555555558</v>
      </c>
      <c r="C15" s="32">
        <v>0</v>
      </c>
      <c r="D15" s="33">
        <v>40</v>
      </c>
      <c r="E15" s="27">
        <f>B15*D15*G20/1000+C15*D15*G18</f>
        <v>1111.1111111111111</v>
      </c>
      <c r="F15" s="34">
        <v>0.2</v>
      </c>
      <c r="G15" s="28">
        <v>0</v>
      </c>
      <c r="H15" s="29">
        <f>F15*(I11-I10)</f>
        <v>14.130850316017854</v>
      </c>
      <c r="I15" s="30">
        <f>E15+H15*G18</f>
        <v>1125.2419614271289</v>
      </c>
    </row>
    <row r="16" spans="1:12" ht="15.75">
      <c r="A16" s="5" t="s">
        <v>27</v>
      </c>
      <c r="B16" s="25">
        <f>1000/60/60</f>
        <v>0.27777777777777779</v>
      </c>
      <c r="C16" s="26">
        <v>0</v>
      </c>
      <c r="D16" s="27">
        <v>140</v>
      </c>
      <c r="E16" s="27">
        <f>B16*D16*G20/1000+C16*D16*G18</f>
        <v>1944.4444444444448</v>
      </c>
      <c r="F16" s="28">
        <v>0.5</v>
      </c>
      <c r="G16" s="28">
        <v>10</v>
      </c>
      <c r="H16" s="29">
        <f>F16*I11+G16*H10</f>
        <v>133.22360071601713</v>
      </c>
      <c r="I16" s="30">
        <f>E16+H16*G18</f>
        <v>2077.668045160462</v>
      </c>
    </row>
    <row r="17" spans="1:9" ht="24">
      <c r="A17" s="265" t="s">
        <v>41</v>
      </c>
      <c r="B17" s="266"/>
      <c r="C17" s="35" t="s">
        <v>42</v>
      </c>
      <c r="D17" s="35" t="s">
        <v>43</v>
      </c>
      <c r="E17" s="35" t="s">
        <v>44</v>
      </c>
      <c r="F17" s="36" t="s">
        <v>45</v>
      </c>
      <c r="G17" s="37" t="s">
        <v>46</v>
      </c>
      <c r="H17" s="38" t="s">
        <v>47</v>
      </c>
      <c r="I17" s="39">
        <f>SUM(I13:I16)</f>
        <v>4547.6045374872629</v>
      </c>
    </row>
    <row r="18" spans="1:9" ht="15">
      <c r="A18" s="267"/>
      <c r="B18" s="268"/>
      <c r="C18" s="40">
        <v>0</v>
      </c>
      <c r="D18" s="41">
        <v>0.3</v>
      </c>
      <c r="E18" s="40">
        <v>3.7000000000000002E-3</v>
      </c>
      <c r="F18" s="42">
        <v>2.5000000000000001E-2</v>
      </c>
      <c r="G18" s="43">
        <v>1</v>
      </c>
      <c r="H18" s="271" t="s">
        <v>48</v>
      </c>
      <c r="I18" s="272" t="s">
        <v>49</v>
      </c>
    </row>
    <row r="19" spans="1:9" ht="24">
      <c r="A19" s="267"/>
      <c r="B19" s="268"/>
      <c r="C19" s="37" t="s">
        <v>41</v>
      </c>
      <c r="D19" s="44" t="s">
        <v>50</v>
      </c>
      <c r="E19" s="35" t="s">
        <v>51</v>
      </c>
      <c r="F19" s="38" t="s">
        <v>52</v>
      </c>
      <c r="G19" s="45" t="s">
        <v>53</v>
      </c>
      <c r="H19" s="271"/>
      <c r="I19" s="273"/>
    </row>
    <row r="20" spans="1:9" ht="18.75">
      <c r="A20" s="267"/>
      <c r="B20" s="268"/>
      <c r="C20" s="46">
        <v>0</v>
      </c>
      <c r="D20" s="47">
        <v>0.08</v>
      </c>
      <c r="E20" s="48">
        <v>0</v>
      </c>
      <c r="F20" s="49">
        <v>0.13</v>
      </c>
      <c r="G20" s="50">
        <v>50000</v>
      </c>
      <c r="H20" s="51">
        <f>I17/G20+B11+B11*F18</f>
        <v>0.93398590542809656</v>
      </c>
      <c r="I20" s="52">
        <f>(H20/(1-D20)+C18+E18+E20/G20+C20/G20+C22*D22+D18*G11)*(1+F20)*(1+E22+F22)</f>
        <v>1.2615409687739325</v>
      </c>
    </row>
    <row r="21" spans="1:9">
      <c r="A21" s="267"/>
      <c r="B21" s="268"/>
      <c r="C21" s="36" t="s">
        <v>54</v>
      </c>
      <c r="D21" s="36" t="s">
        <v>55</v>
      </c>
      <c r="E21" s="53" t="s">
        <v>56</v>
      </c>
      <c r="F21" s="53" t="s">
        <v>57</v>
      </c>
      <c r="G21" s="53" t="s">
        <v>58</v>
      </c>
      <c r="H21" s="54" t="s">
        <v>59</v>
      </c>
      <c r="I21" s="55" t="s">
        <v>60</v>
      </c>
    </row>
    <row r="22" spans="1:9" ht="18.75">
      <c r="A22" s="269"/>
      <c r="B22" s="270"/>
      <c r="C22" s="56">
        <v>1</v>
      </c>
      <c r="D22" s="57">
        <v>0.03</v>
      </c>
      <c r="E22" s="58">
        <f>0.7%+0.5%</f>
        <v>1.2E-2</v>
      </c>
      <c r="F22" s="58">
        <f>0.5%*3+0.5%*6</f>
        <v>4.4999999999999998E-2</v>
      </c>
      <c r="G22" s="59">
        <v>0.15</v>
      </c>
      <c r="H22" s="51">
        <f>(H20+C18+E18+E20/G20+C20/G20+C22*D22+D18*G11)*(1+F20)*(1+E22+F22)</f>
        <v>1.1645355683128564</v>
      </c>
      <c r="I22" s="52">
        <f>I20+(I20-H22)*G22</f>
        <v>1.2760917788430939</v>
      </c>
    </row>
  </sheetData>
  <mergeCells count="17">
    <mergeCell ref="C10:F10"/>
    <mergeCell ref="C11:F11"/>
    <mergeCell ref="A17:B22"/>
    <mergeCell ref="H18:H19"/>
    <mergeCell ref="I18:I19"/>
    <mergeCell ref="C9:F9"/>
    <mergeCell ref="A1:I1"/>
    <mergeCell ref="J1:K2"/>
    <mergeCell ref="B3:F3"/>
    <mergeCell ref="H3:I3"/>
    <mergeCell ref="B4:F4"/>
    <mergeCell ref="H4:I4"/>
    <mergeCell ref="A5:A6"/>
    <mergeCell ref="B5:B6"/>
    <mergeCell ref="C5:F6"/>
    <mergeCell ref="C7:F7"/>
    <mergeCell ref="C8:F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F34D-7D38-4216-BC53-990C7E8DF22B}">
  <sheetPr>
    <tabColor theme="0" tint="-0.14999847407452621"/>
  </sheetPr>
  <dimension ref="A1:L22"/>
  <sheetViews>
    <sheetView workbookViewId="0">
      <selection activeCell="J11" sqref="J11:K11"/>
    </sheetView>
  </sheetViews>
  <sheetFormatPr defaultColWidth="9" defaultRowHeight="13.5"/>
  <cols>
    <col min="1" max="3" width="9" style="62"/>
    <col min="4" max="4" width="10.375" style="62" customWidth="1"/>
    <col min="5" max="5" width="11.5" style="62" customWidth="1"/>
    <col min="6" max="6" width="12.25" style="62" customWidth="1"/>
    <col min="7" max="7" width="13.125" style="62" customWidth="1"/>
    <col min="8" max="8" width="12.125" style="62" customWidth="1"/>
    <col min="9" max="9" width="13.875" style="62" customWidth="1"/>
    <col min="10" max="16384" width="9" style="62"/>
  </cols>
  <sheetData>
    <row r="1" spans="1:12" ht="25.5">
      <c r="A1" s="248" t="s">
        <v>0</v>
      </c>
      <c r="B1" s="248"/>
      <c r="C1" s="248"/>
      <c r="D1" s="248"/>
      <c r="E1" s="248"/>
      <c r="F1" s="248"/>
      <c r="G1" s="248"/>
      <c r="H1" s="248"/>
      <c r="I1" s="248"/>
      <c r="J1" s="274" t="s">
        <v>64</v>
      </c>
      <c r="K1" s="274"/>
      <c r="L1" s="62" t="s">
        <v>72</v>
      </c>
    </row>
    <row r="2" spans="1:12" ht="25.5">
      <c r="A2" s="1"/>
      <c r="B2" s="63"/>
      <c r="C2" s="63"/>
      <c r="D2" s="63"/>
      <c r="E2" s="63"/>
      <c r="F2" s="63"/>
      <c r="G2" s="63"/>
      <c r="H2" s="60" t="s">
        <v>2</v>
      </c>
      <c r="I2" s="64" t="s">
        <v>62</v>
      </c>
      <c r="J2" s="274"/>
      <c r="K2" s="274"/>
      <c r="L2" s="62" t="s">
        <v>4</v>
      </c>
    </row>
    <row r="3" spans="1:12" ht="14.25">
      <c r="A3" s="61" t="s">
        <v>5</v>
      </c>
      <c r="B3" s="250"/>
      <c r="C3" s="251"/>
      <c r="D3" s="251"/>
      <c r="E3" s="251"/>
      <c r="F3" s="252"/>
      <c r="G3" s="61" t="s">
        <v>6</v>
      </c>
      <c r="H3" s="253">
        <v>45155</v>
      </c>
      <c r="I3" s="254"/>
      <c r="J3" s="62" t="s">
        <v>69</v>
      </c>
    </row>
    <row r="4" spans="1:12" ht="14.25">
      <c r="A4" s="61" t="s">
        <v>8</v>
      </c>
      <c r="B4" s="275" t="s">
        <v>63</v>
      </c>
      <c r="C4" s="275"/>
      <c r="D4" s="275"/>
      <c r="E4" s="275"/>
      <c r="F4" s="275"/>
      <c r="G4" s="61" t="s">
        <v>10</v>
      </c>
      <c r="H4" s="257" t="s">
        <v>11</v>
      </c>
      <c r="I4" s="257"/>
    </row>
    <row r="5" spans="1:12" ht="14.25">
      <c r="A5" s="258" t="s">
        <v>12</v>
      </c>
      <c r="B5" s="258" t="s">
        <v>13</v>
      </c>
      <c r="C5" s="258" t="s">
        <v>14</v>
      </c>
      <c r="D5" s="258"/>
      <c r="E5" s="258"/>
      <c r="F5" s="258"/>
      <c r="G5" s="61" t="s">
        <v>15</v>
      </c>
      <c r="H5" s="61" t="s">
        <v>16</v>
      </c>
      <c r="I5" s="61" t="s">
        <v>17</v>
      </c>
    </row>
    <row r="6" spans="1:12" ht="14.25">
      <c r="A6" s="258"/>
      <c r="B6" s="258"/>
      <c r="C6" s="258"/>
      <c r="D6" s="258"/>
      <c r="E6" s="258"/>
      <c r="F6" s="258"/>
      <c r="G6" s="61" t="s">
        <v>18</v>
      </c>
      <c r="H6" s="61" t="s">
        <v>19</v>
      </c>
      <c r="I6" s="61" t="s">
        <v>20</v>
      </c>
    </row>
    <row r="7" spans="1:12" ht="14.25">
      <c r="A7" s="7" t="s">
        <v>21</v>
      </c>
      <c r="B7" s="61" t="s">
        <v>22</v>
      </c>
      <c r="C7" s="263" t="s">
        <v>63</v>
      </c>
      <c r="D7" s="263"/>
      <c r="E7" s="263"/>
      <c r="F7" s="263"/>
      <c r="G7" s="9">
        <f>0.118^2*0.7854*8.89/10*45*1.015*1.015*2</f>
        <v>0.90142846188747638</v>
      </c>
      <c r="H7" s="10">
        <f>(J7+1300)/1.13/1000+2.5</f>
        <v>65.597345132743371</v>
      </c>
      <c r="I7" s="9">
        <f>G7*H7</f>
        <v>59.131313926910792</v>
      </c>
      <c r="J7" s="65">
        <v>70000</v>
      </c>
    </row>
    <row r="8" spans="1:12" ht="14.25">
      <c r="A8" s="12"/>
      <c r="B8" s="61"/>
      <c r="C8" s="250" t="s">
        <v>65</v>
      </c>
      <c r="D8" s="251"/>
      <c r="E8" s="251"/>
      <c r="F8" s="252"/>
      <c r="G8" s="9">
        <v>0.04</v>
      </c>
      <c r="H8" s="13">
        <v>14.7</v>
      </c>
      <c r="I8" s="9">
        <f>G8*H8</f>
        <v>0.58799999999999997</v>
      </c>
    </row>
    <row r="9" spans="1:12" ht="14.25">
      <c r="A9" s="14">
        <v>2</v>
      </c>
      <c r="B9" s="61" t="s">
        <v>24</v>
      </c>
      <c r="C9" s="263" t="s">
        <v>70</v>
      </c>
      <c r="D9" s="263"/>
      <c r="E9" s="263"/>
      <c r="F9" s="263"/>
      <c r="G9" s="9">
        <f>(1.28^2-0.93^2*0.85)*0.7854*0.9/10*1.015*2</f>
        <v>0.12960752049629998</v>
      </c>
      <c r="H9" s="13">
        <v>9.7345000000000006</v>
      </c>
      <c r="I9" s="9">
        <f>G9*H9</f>
        <v>1.2616644082712323</v>
      </c>
      <c r="J9" s="62" t="s">
        <v>73</v>
      </c>
    </row>
    <row r="10" spans="1:12" ht="14.25">
      <c r="A10" s="7">
        <v>4</v>
      </c>
      <c r="B10" s="61" t="s">
        <v>27</v>
      </c>
      <c r="C10" s="263" t="s">
        <v>71</v>
      </c>
      <c r="D10" s="263"/>
      <c r="E10" s="263"/>
      <c r="F10" s="263"/>
      <c r="G10" s="9">
        <f>(3.35^2-1.28^2*2)*0.7854*1.43/10</f>
        <v>0.89239904753999999</v>
      </c>
      <c r="H10" s="13">
        <f>7.4+0.3</f>
        <v>7.7</v>
      </c>
      <c r="I10" s="9">
        <f>G10*H10</f>
        <v>6.8714726660579997</v>
      </c>
    </row>
    <row r="11" spans="1:12" ht="14.25">
      <c r="A11" s="16" t="s">
        <v>29</v>
      </c>
      <c r="B11" s="17">
        <f>I11/100</f>
        <v>0.67852451001240022</v>
      </c>
      <c r="C11" s="276" t="s">
        <v>30</v>
      </c>
      <c r="D11" s="276"/>
      <c r="E11" s="276"/>
      <c r="F11" s="276"/>
      <c r="G11" s="18">
        <f>SUM(G7:G10)/100</f>
        <v>1.9634350299237765E-2</v>
      </c>
      <c r="H11" s="19" t="s">
        <v>31</v>
      </c>
      <c r="I11" s="20">
        <f>SUM(I7:I10)</f>
        <v>67.852451001240027</v>
      </c>
      <c r="J11" s="66">
        <f>B11/I22</f>
        <v>0.81982575313828165</v>
      </c>
      <c r="K11" s="78">
        <f>G11*G20</f>
        <v>1963.4350299237765</v>
      </c>
    </row>
    <row r="12" spans="1:12" ht="36">
      <c r="A12" s="22" t="s">
        <v>13</v>
      </c>
      <c r="B12" s="23" t="s">
        <v>32</v>
      </c>
      <c r="C12" s="23" t="s">
        <v>66</v>
      </c>
      <c r="D12" s="22" t="s">
        <v>34</v>
      </c>
      <c r="E12" s="22" t="s">
        <v>35</v>
      </c>
      <c r="F12" s="23" t="s">
        <v>36</v>
      </c>
      <c r="G12" s="23" t="s">
        <v>37</v>
      </c>
      <c r="H12" s="24" t="s">
        <v>38</v>
      </c>
      <c r="I12" s="22" t="s">
        <v>39</v>
      </c>
    </row>
    <row r="13" spans="1:12" ht="14.25">
      <c r="A13" s="61" t="s">
        <v>22</v>
      </c>
      <c r="B13" s="25">
        <f>0.24*2</f>
        <v>0.48</v>
      </c>
      <c r="C13" s="26">
        <v>0</v>
      </c>
      <c r="D13" s="30">
        <v>10</v>
      </c>
      <c r="E13" s="30">
        <f>B13*D13*G20/1000+C13*D13*G18</f>
        <v>480</v>
      </c>
      <c r="F13" s="67">
        <v>0.5</v>
      </c>
      <c r="G13" s="67">
        <v>0</v>
      </c>
      <c r="H13" s="68">
        <f>F13*I7</f>
        <v>29.565656963455396</v>
      </c>
      <c r="I13" s="30">
        <f>E13+H13*G18</f>
        <v>509.56565696345541</v>
      </c>
    </row>
    <row r="14" spans="1:12" ht="14.25">
      <c r="A14" s="61" t="s">
        <v>24</v>
      </c>
      <c r="B14" s="25">
        <f>1000/60/200*2</f>
        <v>0.16666666666666669</v>
      </c>
      <c r="C14" s="26">
        <v>0</v>
      </c>
      <c r="D14" s="30">
        <v>110</v>
      </c>
      <c r="E14" s="30">
        <f>B14*D14*G20/1000+C14*D14*G18</f>
        <v>1833.3333333333335</v>
      </c>
      <c r="F14" s="67">
        <v>0.5</v>
      </c>
      <c r="G14" s="67">
        <v>2</v>
      </c>
      <c r="H14" s="68">
        <f>F14*(I9+I7)+G14*H9</f>
        <v>49.665489167591012</v>
      </c>
      <c r="I14" s="30">
        <f>E14+H14*G18</f>
        <v>1882.9988225009245</v>
      </c>
    </row>
    <row r="15" spans="1:12" ht="14.25">
      <c r="A15" s="31" t="s">
        <v>40</v>
      </c>
      <c r="B15" s="25">
        <v>0</v>
      </c>
      <c r="C15" s="32">
        <v>0</v>
      </c>
      <c r="D15" s="69">
        <v>40</v>
      </c>
      <c r="E15" s="30">
        <f>B15*D15*G20/1000+C15*D15*G18</f>
        <v>0</v>
      </c>
      <c r="F15" s="70">
        <v>0.2</v>
      </c>
      <c r="G15" s="67">
        <v>0</v>
      </c>
      <c r="H15" s="68">
        <f>F15*(I11-I10)</f>
        <v>12.196195667036406</v>
      </c>
      <c r="I15" s="30">
        <f>E15+H15*G18</f>
        <v>12.196195667036406</v>
      </c>
    </row>
    <row r="16" spans="1:12" ht="14.25">
      <c r="A16" s="61" t="s">
        <v>27</v>
      </c>
      <c r="B16" s="25">
        <f>1000/60/60</f>
        <v>0.27777777777777779</v>
      </c>
      <c r="C16" s="26">
        <v>0</v>
      </c>
      <c r="D16" s="30">
        <v>140</v>
      </c>
      <c r="E16" s="30">
        <f>B16*D16*G20/1000+C16*D16*G18</f>
        <v>3888.8888888888896</v>
      </c>
      <c r="F16" s="67">
        <v>0.5</v>
      </c>
      <c r="G16" s="67">
        <v>10</v>
      </c>
      <c r="H16" s="68">
        <f>F16*I11+G16*H10</f>
        <v>110.92622550062001</v>
      </c>
      <c r="I16" s="30">
        <f>E16+H16*G18</f>
        <v>3999.8151143895097</v>
      </c>
    </row>
    <row r="17" spans="1:11" ht="24">
      <c r="A17" s="265" t="s">
        <v>41</v>
      </c>
      <c r="B17" s="266"/>
      <c r="C17" s="35" t="s">
        <v>42</v>
      </c>
      <c r="D17" s="35" t="s">
        <v>43</v>
      </c>
      <c r="E17" s="35" t="s">
        <v>44</v>
      </c>
      <c r="F17" s="36" t="s">
        <v>67</v>
      </c>
      <c r="G17" s="37" t="s">
        <v>46</v>
      </c>
      <c r="H17" s="38" t="s">
        <v>47</v>
      </c>
      <c r="I17" s="39">
        <f>SUM(I13:I16)</f>
        <v>6404.5757895209263</v>
      </c>
    </row>
    <row r="18" spans="1:11" ht="14.25">
      <c r="A18" s="267"/>
      <c r="B18" s="268"/>
      <c r="C18" s="71">
        <v>0</v>
      </c>
      <c r="D18" s="72">
        <v>0.215</v>
      </c>
      <c r="E18" s="71">
        <v>3.7000000000000002E-3</v>
      </c>
      <c r="F18" s="73">
        <v>0.02</v>
      </c>
      <c r="G18" s="74">
        <v>1</v>
      </c>
      <c r="H18" s="271" t="s">
        <v>48</v>
      </c>
      <c r="I18" s="272" t="s">
        <v>68</v>
      </c>
      <c r="J18" s="66">
        <f>D18*G11/I22</f>
        <v>5.1004795604940546E-3</v>
      </c>
      <c r="K18" s="62">
        <f>D18*G11</f>
        <v>4.221385314336119E-3</v>
      </c>
    </row>
    <row r="19" spans="1:11" ht="24">
      <c r="A19" s="267"/>
      <c r="B19" s="268"/>
      <c r="C19" s="37" t="s">
        <v>41</v>
      </c>
      <c r="D19" s="44" t="s">
        <v>50</v>
      </c>
      <c r="E19" s="35" t="s">
        <v>51</v>
      </c>
      <c r="F19" s="38" t="s">
        <v>52</v>
      </c>
      <c r="G19" s="45" t="s">
        <v>53</v>
      </c>
      <c r="H19" s="271"/>
      <c r="I19" s="277"/>
    </row>
    <row r="20" spans="1:11" ht="18.75">
      <c r="A20" s="267"/>
      <c r="B20" s="268"/>
      <c r="C20" s="75">
        <v>0</v>
      </c>
      <c r="D20" s="47">
        <v>0.05</v>
      </c>
      <c r="E20" s="76">
        <v>0</v>
      </c>
      <c r="F20" s="49">
        <v>0</v>
      </c>
      <c r="G20" s="50">
        <v>100000</v>
      </c>
      <c r="H20" s="51">
        <f>I17/G20+B11+B11*F18</f>
        <v>0.75614075810785752</v>
      </c>
      <c r="I20" s="52">
        <f>(H20/(1-D20)+C18+E18+E20/G20+C20/G20+C22*D22+D18*G11)*(1+F20)*(1+E22+F22)</f>
        <v>0.82154392398728349</v>
      </c>
    </row>
    <row r="21" spans="1:11">
      <c r="A21" s="267"/>
      <c r="B21" s="268"/>
      <c r="C21" s="36" t="s">
        <v>54</v>
      </c>
      <c r="D21" s="36" t="s">
        <v>55</v>
      </c>
      <c r="E21" s="53" t="s">
        <v>56</v>
      </c>
      <c r="F21" s="53" t="s">
        <v>57</v>
      </c>
      <c r="G21" s="53" t="s">
        <v>58</v>
      </c>
      <c r="H21" s="54" t="s">
        <v>59</v>
      </c>
      <c r="I21" s="55" t="s">
        <v>60</v>
      </c>
      <c r="J21" s="62" t="s">
        <v>61</v>
      </c>
    </row>
    <row r="22" spans="1:11" ht="18.75">
      <c r="A22" s="269"/>
      <c r="B22" s="270"/>
      <c r="C22" s="77">
        <v>0</v>
      </c>
      <c r="D22" s="57">
        <v>0</v>
      </c>
      <c r="E22" s="58">
        <f>0.7%</f>
        <v>6.9999999999999993E-3</v>
      </c>
      <c r="F22" s="58">
        <f>0.5%*3</f>
        <v>1.4999999999999999E-2</v>
      </c>
      <c r="G22" s="59">
        <v>0.15</v>
      </c>
      <c r="H22" s="51">
        <f>(H20+C18+E18+E20/G20+C20/G20+C22*D22+D18*G11)*(1+F20)*(1+E22+F22)</f>
        <v>0.78087151057748183</v>
      </c>
      <c r="I22" s="52">
        <f>I20+(I20-H22)*G22</f>
        <v>0.82764478599875368</v>
      </c>
      <c r="J22" s="65">
        <v>0.76</v>
      </c>
      <c r="K22" s="66">
        <f>I22/J22-1</f>
        <v>8.9006297366781117E-2</v>
      </c>
    </row>
  </sheetData>
  <mergeCells count="17">
    <mergeCell ref="C10:F10"/>
    <mergeCell ref="C11:F11"/>
    <mergeCell ref="A17:B22"/>
    <mergeCell ref="H18:H19"/>
    <mergeCell ref="I18:I19"/>
    <mergeCell ref="C9:F9"/>
    <mergeCell ref="A1:I1"/>
    <mergeCell ref="J1:K2"/>
    <mergeCell ref="B3:F3"/>
    <mergeCell ref="H3:I3"/>
    <mergeCell ref="B4:F4"/>
    <mergeCell ref="H4:I4"/>
    <mergeCell ref="A5:A6"/>
    <mergeCell ref="B5:B6"/>
    <mergeCell ref="C5:F6"/>
    <mergeCell ref="C7:F7"/>
    <mergeCell ref="C8:F8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5D86-DB4B-4C76-89A1-D9B23DB97B7E}">
  <sheetPr>
    <tabColor rgb="FFFFFF00"/>
  </sheetPr>
  <dimension ref="A1:L25"/>
  <sheetViews>
    <sheetView workbookViewId="0">
      <selection activeCell="L20" sqref="L20"/>
    </sheetView>
  </sheetViews>
  <sheetFormatPr defaultRowHeight="13.5"/>
  <cols>
    <col min="1" max="1" width="9" style="62"/>
    <col min="2" max="2" width="13.625" style="135" customWidth="1"/>
    <col min="3" max="3" width="23.125" style="135" customWidth="1"/>
    <col min="4" max="4" width="13.25" style="65" customWidth="1"/>
    <col min="5" max="5" width="9" style="139"/>
    <col min="6" max="7" width="9" style="142"/>
    <col min="8" max="16384" width="9" style="62"/>
  </cols>
  <sheetData>
    <row r="1" spans="1:12" ht="20.25">
      <c r="A1" s="144" t="s">
        <v>201</v>
      </c>
    </row>
    <row r="2" spans="1:12" s="138" customFormat="1" ht="25.5" customHeight="1">
      <c r="A2" s="136" t="s">
        <v>202</v>
      </c>
      <c r="B2" s="137" t="s">
        <v>203</v>
      </c>
      <c r="C2" s="137" t="s">
        <v>204</v>
      </c>
      <c r="D2" s="136" t="s">
        <v>205</v>
      </c>
      <c r="E2" s="140" t="s">
        <v>206</v>
      </c>
      <c r="F2" s="143" t="s">
        <v>207</v>
      </c>
      <c r="G2" s="143" t="s">
        <v>208</v>
      </c>
      <c r="H2" s="244" t="s">
        <v>360</v>
      </c>
      <c r="I2" s="138" t="s">
        <v>361</v>
      </c>
    </row>
    <row r="3" spans="1:12" s="138" customFormat="1" ht="24">
      <c r="A3" s="136">
        <v>1</v>
      </c>
      <c r="B3" s="137" t="s">
        <v>217</v>
      </c>
      <c r="C3" s="137" t="s">
        <v>247</v>
      </c>
      <c r="D3" s="136" t="s">
        <v>215</v>
      </c>
      <c r="E3" s="140">
        <f>'23.8.29未税成本-惠州'!I18</f>
        <v>0.41683201623202421</v>
      </c>
      <c r="F3" s="143">
        <f>'23.8.29未税成本-惠州'!D16</f>
        <v>0.05</v>
      </c>
      <c r="G3" s="143">
        <f>'23.8.29未税成本-惠州'!J9</f>
        <v>0.84567558841380752</v>
      </c>
      <c r="H3" s="244"/>
      <c r="I3" s="141">
        <f>ROUND(E3,3)</f>
        <v>0.41699999999999998</v>
      </c>
      <c r="L3" s="245"/>
    </row>
    <row r="4" spans="1:12" s="138" customFormat="1" ht="24">
      <c r="A4" s="136">
        <v>2</v>
      </c>
      <c r="B4" s="137" t="s">
        <v>219</v>
      </c>
      <c r="C4" s="137" t="s">
        <v>248</v>
      </c>
      <c r="D4" s="136" t="s">
        <v>216</v>
      </c>
      <c r="E4" s="140">
        <f>'23.8.29未税成本-惠州'!I36</f>
        <v>0.5949296257545077</v>
      </c>
      <c r="F4" s="143">
        <f>'23.8.29未税成本-惠州'!D34</f>
        <v>0.05</v>
      </c>
      <c r="G4" s="143">
        <f>'23.8.29未税成本-惠州'!J27</f>
        <v>0.85669421254508438</v>
      </c>
      <c r="H4" s="244"/>
      <c r="I4" s="141">
        <f t="shared" ref="I4:I24" si="0">ROUND(E4,3)</f>
        <v>0.59499999999999997</v>
      </c>
      <c r="L4" s="245"/>
    </row>
    <row r="5" spans="1:12" s="138" customFormat="1" ht="24">
      <c r="A5" s="136">
        <v>3</v>
      </c>
      <c r="B5" s="137" t="s">
        <v>238</v>
      </c>
      <c r="C5" s="137" t="s">
        <v>244</v>
      </c>
      <c r="D5" s="136" t="s">
        <v>237</v>
      </c>
      <c r="E5" s="140">
        <f>'23.8.29未税成本-惠州'!I54</f>
        <v>0.93970775443769239</v>
      </c>
      <c r="F5" s="143">
        <f>'23.8.29未税成本-惠州'!D52</f>
        <v>0.05</v>
      </c>
      <c r="G5" s="143">
        <f>'23.8.29未税成本-惠州'!J45</f>
        <v>0.87327647918831486</v>
      </c>
      <c r="H5" s="244"/>
      <c r="I5" s="141">
        <f t="shared" si="0"/>
        <v>0.94</v>
      </c>
      <c r="L5" s="245"/>
    </row>
    <row r="6" spans="1:12" s="138" customFormat="1" ht="24">
      <c r="A6" s="136">
        <v>4</v>
      </c>
      <c r="B6" s="137" t="s">
        <v>242</v>
      </c>
      <c r="C6" s="137" t="s">
        <v>245</v>
      </c>
      <c r="D6" s="136" t="s">
        <v>240</v>
      </c>
      <c r="E6" s="140">
        <f>'23.8.29未税成本-惠州'!I72</f>
        <v>0.26369429232984271</v>
      </c>
      <c r="F6" s="143">
        <f>'23.8.29未税成本-惠州'!D70</f>
        <v>0.05</v>
      </c>
      <c r="G6" s="143">
        <f>'23.8.29未税成本-惠州'!J63</f>
        <v>0.81892919230802852</v>
      </c>
      <c r="H6" s="244"/>
      <c r="I6" s="141">
        <f t="shared" si="0"/>
        <v>0.26400000000000001</v>
      </c>
      <c r="L6" s="245"/>
    </row>
    <row r="7" spans="1:12" s="138" customFormat="1" ht="24">
      <c r="A7" s="136">
        <v>5</v>
      </c>
      <c r="B7" s="137" t="s">
        <v>243</v>
      </c>
      <c r="C7" s="137" t="s">
        <v>246</v>
      </c>
      <c r="D7" s="136" t="s">
        <v>241</v>
      </c>
      <c r="E7" s="140">
        <f>'23.8.29未税成本-惠州'!I90</f>
        <v>0.12638532012449852</v>
      </c>
      <c r="F7" s="143">
        <f>'23.8.29未税成本-惠州'!D88</f>
        <v>0.05</v>
      </c>
      <c r="G7" s="143">
        <f>'23.8.29未税成本-惠州'!J81</f>
        <v>0.75070078822737196</v>
      </c>
      <c r="H7" s="244"/>
      <c r="I7" s="141">
        <f t="shared" si="0"/>
        <v>0.126</v>
      </c>
      <c r="L7" s="245"/>
    </row>
    <row r="8" spans="1:12" s="138" customFormat="1" ht="24">
      <c r="A8" s="136">
        <v>6</v>
      </c>
      <c r="B8" s="137" t="s">
        <v>262</v>
      </c>
      <c r="C8" s="137" t="s">
        <v>273</v>
      </c>
      <c r="D8" s="136" t="s">
        <v>261</v>
      </c>
      <c r="E8" s="140">
        <f>'23.8.29未税成本-惠州'!I108</f>
        <v>0.95903668567242784</v>
      </c>
      <c r="F8" s="143">
        <f>'23.8.29未税成本-惠州'!D106</f>
        <v>0.05</v>
      </c>
      <c r="G8" s="143">
        <f>'23.8.29未税成本-惠州'!J99</f>
        <v>0.86904224410959285</v>
      </c>
      <c r="H8" s="244"/>
      <c r="I8" s="141">
        <f t="shared" si="0"/>
        <v>0.95899999999999996</v>
      </c>
      <c r="L8" s="245"/>
    </row>
    <row r="9" spans="1:12" s="138" customFormat="1" ht="24">
      <c r="A9" s="136">
        <v>7</v>
      </c>
      <c r="B9" s="137" t="s">
        <v>264</v>
      </c>
      <c r="C9" s="137" t="s">
        <v>272</v>
      </c>
      <c r="D9" s="136" t="s">
        <v>265</v>
      </c>
      <c r="E9" s="140">
        <f>'23.8.29未税成本-惠州'!I126</f>
        <v>0.64459956611853475</v>
      </c>
      <c r="F9" s="143">
        <f>'23.8.29未税成本-惠州'!D124</f>
        <v>0.05</v>
      </c>
      <c r="G9" s="143">
        <f>'23.8.29未税成本-惠州'!J117</f>
        <v>0.86117917564197033</v>
      </c>
      <c r="H9" s="244"/>
      <c r="I9" s="141">
        <f t="shared" si="0"/>
        <v>0.64500000000000002</v>
      </c>
      <c r="L9" s="245"/>
    </row>
    <row r="10" spans="1:12" s="138" customFormat="1" ht="24">
      <c r="A10" s="136">
        <v>8</v>
      </c>
      <c r="B10" s="137" t="s">
        <v>268</v>
      </c>
      <c r="C10" s="137" t="s">
        <v>271</v>
      </c>
      <c r="D10" s="136" t="s">
        <v>266</v>
      </c>
      <c r="E10" s="140">
        <f>'23.8.29未税成本-惠州'!I144</f>
        <v>0.42888414223366622</v>
      </c>
      <c r="F10" s="143">
        <f>'23.8.29未税成本-惠州'!D142</f>
        <v>0.05</v>
      </c>
      <c r="G10" s="143">
        <f>'23.8.29未税成本-惠州'!J135</f>
        <v>0.84630215192345304</v>
      </c>
      <c r="H10" s="244"/>
      <c r="I10" s="141">
        <f t="shared" si="0"/>
        <v>0.42899999999999999</v>
      </c>
      <c r="L10" s="245"/>
    </row>
    <row r="11" spans="1:12" s="138" customFormat="1" ht="24">
      <c r="A11" s="136">
        <v>9</v>
      </c>
      <c r="B11" s="137" t="s">
        <v>269</v>
      </c>
      <c r="C11" s="137" t="s">
        <v>270</v>
      </c>
      <c r="D11" s="136" t="s">
        <v>267</v>
      </c>
      <c r="E11" s="140">
        <f>'23.8.29未税成本-惠州'!I162</f>
        <v>0.29974788931723217</v>
      </c>
      <c r="F11" s="143">
        <f>'23.8.29未税成本-惠州'!D160</f>
        <v>0.05</v>
      </c>
      <c r="G11" s="143">
        <f>'23.8.29未税成本-惠州'!J153</f>
        <v>0.82510181265654636</v>
      </c>
      <c r="H11" s="244"/>
      <c r="I11" s="141">
        <f t="shared" si="0"/>
        <v>0.3</v>
      </c>
      <c r="L11" s="245"/>
    </row>
    <row r="12" spans="1:12" s="138" customFormat="1" ht="24">
      <c r="A12" s="136">
        <v>10</v>
      </c>
      <c r="B12" s="137" t="s">
        <v>285</v>
      </c>
      <c r="C12" s="137" t="s">
        <v>289</v>
      </c>
      <c r="D12" s="136" t="s">
        <v>287</v>
      </c>
      <c r="E12" s="140">
        <f>'23.8.29未税成本-惠州'!I180</f>
        <v>0.12587420183628148</v>
      </c>
      <c r="F12" s="143">
        <f>'23.8.29未税成本-惠州'!D178</f>
        <v>0.05</v>
      </c>
      <c r="G12" s="143">
        <f>'23.8.29未税成本-惠州'!J171</f>
        <v>0.74357760528792227</v>
      </c>
      <c r="H12" s="244"/>
      <c r="I12" s="141">
        <f t="shared" si="0"/>
        <v>0.126</v>
      </c>
      <c r="L12" s="245"/>
    </row>
    <row r="13" spans="1:12" s="138" customFormat="1" ht="24">
      <c r="A13" s="136">
        <v>11</v>
      </c>
      <c r="B13" s="137" t="s">
        <v>286</v>
      </c>
      <c r="C13" s="137" t="s">
        <v>290</v>
      </c>
      <c r="D13" s="136" t="s">
        <v>288</v>
      </c>
      <c r="E13" s="140">
        <f>'23.8.29未税成本-惠州'!I198</f>
        <v>9.3493467117762658E-2</v>
      </c>
      <c r="F13" s="143">
        <f>'23.8.29未税成本-惠州'!D196</f>
        <v>0.05</v>
      </c>
      <c r="G13" s="143">
        <f>'23.8.29未税成本-惠州'!J189</f>
        <v>0.70111367028669691</v>
      </c>
      <c r="H13" s="244"/>
      <c r="I13" s="141">
        <f t="shared" si="0"/>
        <v>9.2999999999999999E-2</v>
      </c>
      <c r="L13" s="245"/>
    </row>
    <row r="14" spans="1:12" s="138" customFormat="1" ht="24">
      <c r="A14" s="136">
        <v>12</v>
      </c>
      <c r="B14" s="137" t="s">
        <v>311</v>
      </c>
      <c r="C14" s="137" t="s">
        <v>309</v>
      </c>
      <c r="D14" s="136" t="s">
        <v>299</v>
      </c>
      <c r="E14" s="140">
        <f>'23.8.29未税成本-惠州'!I216</f>
        <v>0.93636645984716238</v>
      </c>
      <c r="F14" s="143">
        <f>'23.8.29未税成本-惠州'!D214</f>
        <v>0.05</v>
      </c>
      <c r="G14" s="143">
        <f>'23.8.29未税成本-惠州'!J207</f>
        <v>0.87126089895924475</v>
      </c>
      <c r="H14" s="244"/>
      <c r="I14" s="141">
        <f t="shared" si="0"/>
        <v>0.93600000000000005</v>
      </c>
      <c r="L14" s="245"/>
    </row>
    <row r="15" spans="1:12" s="138" customFormat="1" ht="24">
      <c r="A15" s="136">
        <v>13</v>
      </c>
      <c r="B15" s="137" t="s">
        <v>312</v>
      </c>
      <c r="C15" s="137" t="s">
        <v>308</v>
      </c>
      <c r="D15" s="136" t="s">
        <v>301</v>
      </c>
      <c r="E15" s="140">
        <f>'23.8.29未税成本-惠州'!I234</f>
        <v>0.39667118818114033</v>
      </c>
      <c r="F15" s="143">
        <f>'23.8.29未税成本-惠州'!D232</f>
        <v>0.05</v>
      </c>
      <c r="G15" s="143">
        <f>'23.8.29未税成本-惠州'!J225</f>
        <v>0.84450934924375798</v>
      </c>
      <c r="H15" s="244"/>
      <c r="I15" s="141">
        <f t="shared" si="0"/>
        <v>0.39700000000000002</v>
      </c>
      <c r="L15" s="245"/>
    </row>
    <row r="16" spans="1:12" s="138" customFormat="1" ht="24">
      <c r="A16" s="136">
        <v>14</v>
      </c>
      <c r="B16" s="137" t="s">
        <v>313</v>
      </c>
      <c r="C16" s="137" t="s">
        <v>307</v>
      </c>
      <c r="D16" s="136" t="s">
        <v>304</v>
      </c>
      <c r="E16" s="140">
        <f>'23.8.29未税成本-惠州'!I252</f>
        <v>0.26505405726617026</v>
      </c>
      <c r="F16" s="143">
        <f>'23.8.29未税成本-惠州'!D250</f>
        <v>0.05</v>
      </c>
      <c r="G16" s="143">
        <f>'23.8.29未税成本-惠州'!J243</f>
        <v>0.81578987798493907</v>
      </c>
      <c r="H16" s="244"/>
      <c r="I16" s="141">
        <f t="shared" si="0"/>
        <v>0.26500000000000001</v>
      </c>
      <c r="L16" s="245"/>
    </row>
    <row r="17" spans="1:12" s="138" customFormat="1" ht="24">
      <c r="A17" s="136">
        <v>15</v>
      </c>
      <c r="B17" s="137" t="s">
        <v>314</v>
      </c>
      <c r="C17" s="137" t="s">
        <v>306</v>
      </c>
      <c r="D17" s="136" t="s">
        <v>305</v>
      </c>
      <c r="E17" s="140">
        <f>'23.8.29未税成本-惠州'!I270</f>
        <v>0.13067051626529397</v>
      </c>
      <c r="F17" s="143">
        <f>'23.8.29未税成本-惠州'!D268</f>
        <v>0.05</v>
      </c>
      <c r="G17" s="143">
        <f>'23.8.29未税成本-惠州'!J261</f>
        <v>0.75357991640527966</v>
      </c>
      <c r="H17" s="244"/>
      <c r="I17" s="141">
        <f t="shared" si="0"/>
        <v>0.13100000000000001</v>
      </c>
      <c r="L17" s="245"/>
    </row>
    <row r="18" spans="1:12" s="138" customFormat="1" ht="24">
      <c r="A18" s="136">
        <v>16</v>
      </c>
      <c r="B18" s="137" t="s">
        <v>333</v>
      </c>
      <c r="C18" s="137" t="s">
        <v>359</v>
      </c>
      <c r="D18" s="136" t="s">
        <v>316</v>
      </c>
      <c r="E18" s="140">
        <f>'23.8.29未税成本-惠州'!I289</f>
        <v>1.6003512876410844</v>
      </c>
      <c r="F18" s="143">
        <f>'23.8.29未税成本-惠州'!D287</f>
        <v>0.06</v>
      </c>
      <c r="G18" s="143">
        <f>'23.8.29未税成本-惠州'!J279</f>
        <v>0.83767409028875239</v>
      </c>
      <c r="H18" s="244"/>
      <c r="I18" s="141">
        <f t="shared" si="0"/>
        <v>1.6</v>
      </c>
      <c r="L18" s="245"/>
    </row>
    <row r="19" spans="1:12" s="138" customFormat="1" ht="24">
      <c r="A19" s="136">
        <v>17</v>
      </c>
      <c r="B19" s="137" t="s">
        <v>356</v>
      </c>
      <c r="C19" s="137" t="s">
        <v>348</v>
      </c>
      <c r="D19" s="136" t="s">
        <v>349</v>
      </c>
      <c r="E19" s="140">
        <f>'23.8.29未税成本-惠州'!I308</f>
        <v>1.4352151758345757</v>
      </c>
      <c r="F19" s="143">
        <f>'23.8.29未税成本-惠州'!D306</f>
        <v>0.06</v>
      </c>
      <c r="G19" s="143">
        <f>'23.8.29未税成本-惠州'!J298</f>
        <v>0.81661600021502234</v>
      </c>
      <c r="H19" s="244" t="s">
        <v>341</v>
      </c>
      <c r="I19" s="141">
        <f t="shared" si="0"/>
        <v>1.4350000000000001</v>
      </c>
      <c r="L19" s="245"/>
    </row>
    <row r="20" spans="1:12" s="138" customFormat="1" ht="24">
      <c r="A20" s="136">
        <v>18</v>
      </c>
      <c r="B20" s="137" t="s">
        <v>357</v>
      </c>
      <c r="C20" s="137" t="s">
        <v>353</v>
      </c>
      <c r="D20" s="136" t="s">
        <v>350</v>
      </c>
      <c r="E20" s="140">
        <f>'23.8.29未税成本-惠州'!I327</f>
        <v>0.59505919733419588</v>
      </c>
      <c r="F20" s="143">
        <f>'23.8.29未税成本-惠州'!D325</f>
        <v>0.06</v>
      </c>
      <c r="G20" s="143">
        <f>'23.8.29未税成本-惠州'!J317</f>
        <v>0.77745039018979556</v>
      </c>
      <c r="H20" s="244" t="s">
        <v>341</v>
      </c>
      <c r="I20" s="141">
        <f t="shared" si="0"/>
        <v>0.59499999999999997</v>
      </c>
      <c r="L20" s="245"/>
    </row>
    <row r="21" spans="1:12" s="138" customFormat="1" ht="24">
      <c r="A21" s="136">
        <v>19</v>
      </c>
      <c r="B21" s="137" t="s">
        <v>351</v>
      </c>
      <c r="C21" s="137" t="s">
        <v>354</v>
      </c>
      <c r="D21" s="136" t="s">
        <v>352</v>
      </c>
      <c r="E21" s="140">
        <f>'23.8.29未税成本-惠州'!I346</f>
        <v>0.40212690032209986</v>
      </c>
      <c r="F21" s="143">
        <f>'23.8.29未税成本-惠州'!D344</f>
        <v>0.06</v>
      </c>
      <c r="G21" s="143">
        <f>'23.8.29未税成本-惠州'!J336</f>
        <v>0.7274037908635862</v>
      </c>
      <c r="H21" s="244" t="s">
        <v>341</v>
      </c>
      <c r="I21" s="141">
        <f t="shared" si="0"/>
        <v>0.40200000000000002</v>
      </c>
      <c r="L21" s="245"/>
    </row>
    <row r="22" spans="1:12" s="138" customFormat="1" ht="24">
      <c r="A22" s="136">
        <v>20</v>
      </c>
      <c r="B22" s="137" t="s">
        <v>334</v>
      </c>
      <c r="C22" s="137" t="s">
        <v>358</v>
      </c>
      <c r="D22" s="136" t="s">
        <v>323</v>
      </c>
      <c r="E22" s="140">
        <f>'23.8.29未税成本-惠州'!I365</f>
        <v>1.1948544840094404</v>
      </c>
      <c r="F22" s="143">
        <f>'23.8.29未税成本-惠州'!D363</f>
        <v>0.06</v>
      </c>
      <c r="G22" s="143">
        <f>'23.8.29未税成本-惠州'!J355</f>
        <v>0.8205689646570451</v>
      </c>
      <c r="H22" s="244"/>
      <c r="I22" s="141">
        <f t="shared" si="0"/>
        <v>1.1950000000000001</v>
      </c>
      <c r="L22" s="245"/>
    </row>
    <row r="23" spans="1:12" s="138" customFormat="1" ht="24">
      <c r="A23" s="136">
        <v>21</v>
      </c>
      <c r="B23" s="137" t="s">
        <v>335</v>
      </c>
      <c r="C23" s="137" t="s">
        <v>331</v>
      </c>
      <c r="D23" s="136" t="s">
        <v>325</v>
      </c>
      <c r="E23" s="140">
        <f>'23.8.29未税成本-惠州'!I384</f>
        <v>0.41245180080391691</v>
      </c>
      <c r="F23" s="143">
        <f>'23.8.29未税成本-惠州'!D382</f>
        <v>0.06</v>
      </c>
      <c r="G23" s="143">
        <f>'23.8.29未税成本-惠州'!J374</f>
        <v>0.74618261663148111</v>
      </c>
      <c r="H23" s="244"/>
      <c r="I23" s="141">
        <f t="shared" si="0"/>
        <v>0.41199999999999998</v>
      </c>
      <c r="L23" s="245"/>
    </row>
    <row r="24" spans="1:12" s="138" customFormat="1" ht="24">
      <c r="A24" s="136">
        <v>22</v>
      </c>
      <c r="B24" s="137" t="s">
        <v>336</v>
      </c>
      <c r="C24" s="137" t="s">
        <v>332</v>
      </c>
      <c r="D24" s="136" t="s">
        <v>328</v>
      </c>
      <c r="E24" s="140">
        <f>'23.8.29未税成本-惠州'!I403</f>
        <v>0.24760061502834671</v>
      </c>
      <c r="F24" s="143">
        <f>'23.8.29未税成本-惠州'!D401</f>
        <v>0.06</v>
      </c>
      <c r="G24" s="143">
        <f>'23.8.29未税成本-惠州'!J393</f>
        <v>0.64834407081548062</v>
      </c>
      <c r="H24" s="244"/>
      <c r="I24" s="141">
        <f t="shared" si="0"/>
        <v>0.248</v>
      </c>
      <c r="L24" s="245"/>
    </row>
    <row r="25" spans="1:12" s="138" customFormat="1" ht="24">
      <c r="A25" s="136">
        <v>23</v>
      </c>
      <c r="B25" s="203" t="s">
        <v>277</v>
      </c>
      <c r="C25" s="203" t="s">
        <v>278</v>
      </c>
      <c r="D25" s="202" t="s">
        <v>276</v>
      </c>
      <c r="E25" s="278" t="s">
        <v>318</v>
      </c>
      <c r="F25" s="279"/>
      <c r="G25" s="280"/>
      <c r="H25" s="244"/>
      <c r="I25" s="141" t="s">
        <v>362</v>
      </c>
    </row>
  </sheetData>
  <mergeCells count="1">
    <mergeCell ref="E25:G25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A6AA-A9E6-4F91-B3AB-811752E1E13D}">
  <sheetPr>
    <tabColor rgb="FFFFFF00"/>
  </sheetPr>
  <dimension ref="A1:S403"/>
  <sheetViews>
    <sheetView tabSelected="1" topLeftCell="A376" workbookViewId="0">
      <selection activeCell="L400" sqref="L400"/>
    </sheetView>
  </sheetViews>
  <sheetFormatPr defaultRowHeight="14.25"/>
  <cols>
    <col min="3" max="3" width="11.625" customWidth="1"/>
    <col min="4" max="4" width="11.375" customWidth="1"/>
    <col min="5" max="5" width="11.125" customWidth="1"/>
    <col min="6" max="7" width="11.25" customWidth="1"/>
    <col min="8" max="8" width="11.125" customWidth="1"/>
    <col min="9" max="9" width="12.25" style="131" customWidth="1"/>
    <col min="10" max="19" width="9" style="87"/>
  </cols>
  <sheetData>
    <row r="1" spans="1:12" ht="25.5">
      <c r="A1" s="292" t="s">
        <v>0</v>
      </c>
      <c r="B1" s="292"/>
      <c r="C1" s="292"/>
      <c r="D1" s="292"/>
      <c r="E1" s="292"/>
      <c r="F1" s="292"/>
      <c r="G1" s="292"/>
      <c r="H1" s="292"/>
      <c r="I1" s="292"/>
      <c r="J1" s="274" t="s">
        <v>212</v>
      </c>
      <c r="K1" s="274"/>
      <c r="L1" s="62" t="s">
        <v>72</v>
      </c>
    </row>
    <row r="2" spans="1:12" ht="25.5">
      <c r="A2" s="88"/>
      <c r="B2" s="88"/>
      <c r="C2" s="88"/>
      <c r="D2" s="88"/>
      <c r="E2" s="88"/>
      <c r="F2" s="88"/>
      <c r="G2" s="88"/>
      <c r="H2" s="89" t="s">
        <v>2</v>
      </c>
      <c r="I2" s="122" t="s">
        <v>79</v>
      </c>
      <c r="J2" s="274"/>
      <c r="K2" s="274"/>
      <c r="L2" s="62" t="s">
        <v>4</v>
      </c>
    </row>
    <row r="3" spans="1:12">
      <c r="A3" s="90" t="s">
        <v>5</v>
      </c>
      <c r="B3" s="308"/>
      <c r="C3" s="309"/>
      <c r="D3" s="309"/>
      <c r="E3" s="309"/>
      <c r="F3" s="310"/>
      <c r="G3" s="90" t="s">
        <v>6</v>
      </c>
      <c r="H3" s="311">
        <v>45073</v>
      </c>
      <c r="I3" s="312"/>
      <c r="J3" s="87" t="s">
        <v>213</v>
      </c>
    </row>
    <row r="4" spans="1:12" ht="15.75">
      <c r="A4" s="91" t="s">
        <v>8</v>
      </c>
      <c r="B4" s="313" t="s">
        <v>233</v>
      </c>
      <c r="C4" s="313"/>
      <c r="D4" s="313"/>
      <c r="E4" s="313"/>
      <c r="F4" s="313"/>
      <c r="G4" s="91" t="s">
        <v>10</v>
      </c>
      <c r="H4" s="314" t="s">
        <v>210</v>
      </c>
      <c r="I4" s="314"/>
    </row>
    <row r="5" spans="1:12">
      <c r="A5" s="315" t="s">
        <v>12</v>
      </c>
      <c r="B5" s="315" t="s">
        <v>13</v>
      </c>
      <c r="C5" s="316" t="s">
        <v>14</v>
      </c>
      <c r="D5" s="317"/>
      <c r="E5" s="317"/>
      <c r="F5" s="318"/>
      <c r="G5" s="91" t="s">
        <v>15</v>
      </c>
      <c r="H5" s="91" t="s">
        <v>16</v>
      </c>
      <c r="I5" s="123" t="s">
        <v>17</v>
      </c>
    </row>
    <row r="6" spans="1:12" ht="15.75">
      <c r="A6" s="315"/>
      <c r="B6" s="315"/>
      <c r="C6" s="319"/>
      <c r="D6" s="320"/>
      <c r="E6" s="320"/>
      <c r="F6" s="321"/>
      <c r="G6" s="91" t="s">
        <v>18</v>
      </c>
      <c r="H6" s="92" t="s">
        <v>19</v>
      </c>
      <c r="I6" s="124" t="s">
        <v>20</v>
      </c>
    </row>
    <row r="7" spans="1:12" ht="15.75">
      <c r="A7" s="93" t="s">
        <v>21</v>
      </c>
      <c r="B7" s="94" t="s">
        <v>22</v>
      </c>
      <c r="C7" s="327" t="s">
        <v>234</v>
      </c>
      <c r="D7" s="328"/>
      <c r="E7" s="328"/>
      <c r="F7" s="329"/>
      <c r="G7" s="95">
        <f>0.177^2*0.7854*8.89/10*20*1.015</f>
        <v>0.44405342950121995</v>
      </c>
      <c r="H7" s="10">
        <f>(J7+1300)/1.13/1000+4.33</f>
        <v>67.427345132743369</v>
      </c>
      <c r="I7" s="123">
        <f>G7*H7</f>
        <v>29.941343848357086</v>
      </c>
      <c r="J7" s="134">
        <v>70000</v>
      </c>
    </row>
    <row r="8" spans="1:12" ht="15.75">
      <c r="A8" s="93">
        <v>2</v>
      </c>
      <c r="B8" s="91" t="s">
        <v>24</v>
      </c>
      <c r="C8" s="330" t="s">
        <v>211</v>
      </c>
      <c r="D8" s="328"/>
      <c r="E8" s="328"/>
      <c r="F8" s="329"/>
      <c r="G8" s="95">
        <f>(2.53^2-0.9^2*0.85)*0.7854*1.47/10</f>
        <v>0.65951828711999982</v>
      </c>
      <c r="H8" s="13">
        <v>8.0500000000000007</v>
      </c>
      <c r="I8" s="123">
        <f>G8*H8</f>
        <v>5.3091222113159988</v>
      </c>
    </row>
    <row r="9" spans="1:12" ht="15.75">
      <c r="A9" s="96" t="s">
        <v>29</v>
      </c>
      <c r="B9" s="97">
        <f>I9/100</f>
        <v>0.35250466059673086</v>
      </c>
      <c r="C9" s="331" t="s">
        <v>30</v>
      </c>
      <c r="D9" s="331"/>
      <c r="E9" s="331"/>
      <c r="F9" s="331"/>
      <c r="G9" s="98">
        <f>SUM(G7:G8)/100</f>
        <v>1.1035717166212197E-2</v>
      </c>
      <c r="H9" s="99" t="s">
        <v>31</v>
      </c>
      <c r="I9" s="125">
        <f>SUM(I7:I8)</f>
        <v>35.250466059673087</v>
      </c>
      <c r="J9" s="66">
        <f>B9/I18</f>
        <v>0.84567558841380752</v>
      </c>
      <c r="K9" s="78">
        <f>G9*G16</f>
        <v>551.78585831060991</v>
      </c>
    </row>
    <row r="10" spans="1:12" ht="36">
      <c r="A10" s="101" t="s">
        <v>13</v>
      </c>
      <c r="B10" s="102" t="s">
        <v>32</v>
      </c>
      <c r="C10" s="102" t="s">
        <v>33</v>
      </c>
      <c r="D10" s="101" t="s">
        <v>34</v>
      </c>
      <c r="E10" s="101" t="s">
        <v>35</v>
      </c>
      <c r="F10" s="102" t="s">
        <v>36</v>
      </c>
      <c r="G10" s="102" t="s">
        <v>37</v>
      </c>
      <c r="H10" s="103" t="s">
        <v>38</v>
      </c>
      <c r="I10" s="126" t="s">
        <v>39</v>
      </c>
    </row>
    <row r="11" spans="1:12" ht="15.75">
      <c r="A11" s="104" t="s">
        <v>22</v>
      </c>
      <c r="B11" s="105">
        <v>0.218</v>
      </c>
      <c r="C11" s="106">
        <v>0</v>
      </c>
      <c r="D11" s="107">
        <v>10</v>
      </c>
      <c r="E11" s="108">
        <f>B11*D11*G16/1000+C11*D11*G14</f>
        <v>109.00000000000001</v>
      </c>
      <c r="F11" s="109">
        <v>0.5</v>
      </c>
      <c r="G11" s="110">
        <v>0</v>
      </c>
      <c r="H11" s="111">
        <f>F11*I7</f>
        <v>14.970671924178543</v>
      </c>
      <c r="I11" s="127">
        <f>E11+H11*G14</f>
        <v>123.97067192417856</v>
      </c>
    </row>
    <row r="12" spans="1:12" ht="15.75">
      <c r="A12" s="104" t="s">
        <v>24</v>
      </c>
      <c r="B12" s="105">
        <f>1000/60/220</f>
        <v>7.575757575757576E-2</v>
      </c>
      <c r="C12" s="106">
        <v>0</v>
      </c>
      <c r="D12" s="107">
        <v>140</v>
      </c>
      <c r="E12" s="108">
        <f>B12*D12*G16/1000+C12*D12*G14</f>
        <v>530.30303030303025</v>
      </c>
      <c r="F12" s="109">
        <v>2</v>
      </c>
      <c r="G12" s="113">
        <v>5</v>
      </c>
      <c r="H12" s="111">
        <f>F12*(I8+I7)+G12*H8</f>
        <v>110.75093211934617</v>
      </c>
      <c r="I12" s="127">
        <f>E12+H12*G14</f>
        <v>641.05396242237646</v>
      </c>
    </row>
    <row r="13" spans="1:12" ht="24">
      <c r="A13" s="283" t="s">
        <v>41</v>
      </c>
      <c r="B13" s="284"/>
      <c r="C13" s="114" t="s">
        <v>42</v>
      </c>
      <c r="D13" s="114" t="s">
        <v>43</v>
      </c>
      <c r="E13" s="114" t="s">
        <v>44</v>
      </c>
      <c r="F13" s="36" t="s">
        <v>45</v>
      </c>
      <c r="G13" s="37" t="s">
        <v>46</v>
      </c>
      <c r="H13" s="115" t="s">
        <v>47</v>
      </c>
      <c r="I13" s="128">
        <f>SUM(I11:I12)</f>
        <v>765.02463434655499</v>
      </c>
    </row>
    <row r="14" spans="1:12" ht="15">
      <c r="A14" s="285"/>
      <c r="B14" s="286"/>
      <c r="C14" s="71">
        <v>0</v>
      </c>
      <c r="D14" s="72">
        <v>0.9</v>
      </c>
      <c r="E14" s="117">
        <v>1.5E-3</v>
      </c>
      <c r="F14" s="118">
        <v>1.2999999999999999E-2</v>
      </c>
      <c r="G14" s="119">
        <v>1</v>
      </c>
      <c r="H14" s="289" t="s">
        <v>48</v>
      </c>
      <c r="I14" s="306" t="s">
        <v>49</v>
      </c>
    </row>
    <row r="15" spans="1:12" ht="24">
      <c r="A15" s="285"/>
      <c r="B15" s="286"/>
      <c r="C15" s="132" t="s">
        <v>214</v>
      </c>
      <c r="D15" s="44" t="s">
        <v>50</v>
      </c>
      <c r="E15" s="114" t="s">
        <v>51</v>
      </c>
      <c r="F15" s="115" t="s">
        <v>52</v>
      </c>
      <c r="G15" s="120" t="s">
        <v>53</v>
      </c>
      <c r="H15" s="289"/>
      <c r="I15" s="307"/>
    </row>
    <row r="16" spans="1:12" ht="18.75">
      <c r="A16" s="285"/>
      <c r="B16" s="286"/>
      <c r="C16" s="133">
        <f>300/200000*G16</f>
        <v>75</v>
      </c>
      <c r="D16" s="47">
        <v>0.05</v>
      </c>
      <c r="E16" s="76">
        <v>0</v>
      </c>
      <c r="F16" s="49">
        <v>0</v>
      </c>
      <c r="G16" s="50">
        <v>50000</v>
      </c>
      <c r="H16" s="121">
        <f>I13/G16+B9+B9*F14</f>
        <v>0.3723877138714195</v>
      </c>
      <c r="I16" s="129">
        <f>(H16/(1-D16)+C14+E14+E16/G16+C16/G16+C18*D18+D14*G9)*(1+F16)*(1+E18+F18)</f>
        <v>0.41382743536168271</v>
      </c>
    </row>
    <row r="17" spans="1:11">
      <c r="A17" s="285"/>
      <c r="B17" s="286"/>
      <c r="C17" s="36" t="s">
        <v>54</v>
      </c>
      <c r="D17" s="36" t="s">
        <v>55</v>
      </c>
      <c r="E17" s="53" t="s">
        <v>56</v>
      </c>
      <c r="F17" s="53" t="s">
        <v>57</v>
      </c>
      <c r="G17" s="53" t="s">
        <v>58</v>
      </c>
      <c r="H17" s="54" t="s">
        <v>59</v>
      </c>
      <c r="I17" s="130" t="s">
        <v>60</v>
      </c>
    </row>
    <row r="18" spans="1:11" ht="18.75">
      <c r="A18" s="287"/>
      <c r="B18" s="288"/>
      <c r="C18" s="56">
        <v>0</v>
      </c>
      <c r="D18" s="57">
        <v>0</v>
      </c>
      <c r="E18" s="58">
        <f>0.7%</f>
        <v>6.9999999999999993E-3</v>
      </c>
      <c r="F18" s="58">
        <f>0.5%*3</f>
        <v>1.4999999999999999E-2</v>
      </c>
      <c r="G18" s="59">
        <v>0.15</v>
      </c>
      <c r="H18" s="121">
        <f>(H16+C14+E14+E16/G16+C16/G16+C18*D18+D14*G9)*(1+F16)*(1+E18+F18)</f>
        <v>0.39379689622607261</v>
      </c>
      <c r="I18" s="129">
        <f>I16+(I16-H18)*G18</f>
        <v>0.41683201623202421</v>
      </c>
    </row>
    <row r="19" spans="1:11" ht="25.5">
      <c r="A19" s="292" t="s">
        <v>0</v>
      </c>
      <c r="B19" s="292"/>
      <c r="C19" s="292"/>
      <c r="D19" s="292"/>
      <c r="E19" s="292"/>
      <c r="F19" s="292"/>
      <c r="G19" s="292"/>
      <c r="H19" s="292"/>
      <c r="I19" s="292"/>
    </row>
    <row r="20" spans="1:11" ht="25.5">
      <c r="A20" s="88"/>
      <c r="B20" s="88"/>
      <c r="C20" s="88"/>
      <c r="D20" s="88"/>
      <c r="E20" s="88"/>
      <c r="F20" s="88"/>
      <c r="G20" s="88"/>
      <c r="H20" s="89" t="s">
        <v>2</v>
      </c>
      <c r="I20" s="122" t="s">
        <v>84</v>
      </c>
    </row>
    <row r="21" spans="1:11">
      <c r="A21" s="90" t="s">
        <v>5</v>
      </c>
      <c r="B21" s="308"/>
      <c r="C21" s="309"/>
      <c r="D21" s="309"/>
      <c r="E21" s="309"/>
      <c r="F21" s="310"/>
      <c r="G21" s="90" t="s">
        <v>6</v>
      </c>
      <c r="H21" s="311">
        <v>45096</v>
      </c>
      <c r="I21" s="312"/>
    </row>
    <row r="22" spans="1:11" ht="15.75">
      <c r="A22" s="91" t="s">
        <v>8</v>
      </c>
      <c r="B22" s="313" t="s">
        <v>235</v>
      </c>
      <c r="C22" s="313"/>
      <c r="D22" s="313"/>
      <c r="E22" s="313"/>
      <c r="F22" s="313"/>
      <c r="G22" s="91" t="s">
        <v>10</v>
      </c>
      <c r="H22" s="314" t="s">
        <v>218</v>
      </c>
      <c r="I22" s="314"/>
    </row>
    <row r="23" spans="1:11">
      <c r="A23" s="315" t="s">
        <v>12</v>
      </c>
      <c r="B23" s="315" t="s">
        <v>13</v>
      </c>
      <c r="C23" s="316" t="s">
        <v>14</v>
      </c>
      <c r="D23" s="317"/>
      <c r="E23" s="317"/>
      <c r="F23" s="318"/>
      <c r="G23" s="91" t="s">
        <v>15</v>
      </c>
      <c r="H23" s="91" t="s">
        <v>16</v>
      </c>
      <c r="I23" s="123" t="s">
        <v>17</v>
      </c>
    </row>
    <row r="24" spans="1:11" ht="15.75">
      <c r="A24" s="315"/>
      <c r="B24" s="315"/>
      <c r="C24" s="319"/>
      <c r="D24" s="320"/>
      <c r="E24" s="320"/>
      <c r="F24" s="321"/>
      <c r="G24" s="91" t="s">
        <v>18</v>
      </c>
      <c r="H24" s="92" t="s">
        <v>19</v>
      </c>
      <c r="I24" s="124" t="s">
        <v>20</v>
      </c>
    </row>
    <row r="25" spans="1:11" ht="15.75">
      <c r="A25" s="93" t="s">
        <v>21</v>
      </c>
      <c r="B25" s="94" t="s">
        <v>22</v>
      </c>
      <c r="C25" s="327" t="s">
        <v>236</v>
      </c>
      <c r="D25" s="328"/>
      <c r="E25" s="328"/>
      <c r="F25" s="329"/>
      <c r="G25" s="95">
        <f>0.177^2*0.7854*8.89/10*30*1.015</f>
        <v>0.66608014425182993</v>
      </c>
      <c r="H25" s="10">
        <f>(J25+1300)/1.13/1000+4.33</f>
        <v>67.427345132743369</v>
      </c>
      <c r="I25" s="123">
        <f>G25*H25</f>
        <v>44.912015772535625</v>
      </c>
      <c r="J25" s="134">
        <v>70000</v>
      </c>
    </row>
    <row r="26" spans="1:11" ht="15.75">
      <c r="A26" s="93">
        <v>2</v>
      </c>
      <c r="B26" s="91" t="s">
        <v>24</v>
      </c>
      <c r="C26" s="330" t="s">
        <v>209</v>
      </c>
      <c r="D26" s="328"/>
      <c r="E26" s="328"/>
      <c r="F26" s="329"/>
      <c r="G26" s="95">
        <f>(2.75^2-1.11^2*0.85)*0.7854*1.47/10</f>
        <v>0.75220632956699995</v>
      </c>
      <c r="H26" s="13">
        <v>8.0500000000000007</v>
      </c>
      <c r="I26" s="123">
        <f>G26*H26</f>
        <v>6.0552609530143497</v>
      </c>
    </row>
    <row r="27" spans="1:11" ht="15.75">
      <c r="A27" s="96" t="s">
        <v>29</v>
      </c>
      <c r="B27" s="97">
        <f>I27/100</f>
        <v>0.5096727672554997</v>
      </c>
      <c r="C27" s="331" t="s">
        <v>30</v>
      </c>
      <c r="D27" s="331"/>
      <c r="E27" s="331"/>
      <c r="F27" s="331"/>
      <c r="G27" s="98">
        <f>SUM(G25:G26)/100</f>
        <v>1.4182864738188299E-2</v>
      </c>
      <c r="H27" s="99" t="s">
        <v>31</v>
      </c>
      <c r="I27" s="125">
        <f>SUM(I25:I26)</f>
        <v>50.967276725549972</v>
      </c>
      <c r="J27" s="66">
        <f>B27/I36</f>
        <v>0.85669421254508438</v>
      </c>
      <c r="K27" s="78">
        <f>G27*G34</f>
        <v>709.1432369094149</v>
      </c>
    </row>
    <row r="28" spans="1:11" ht="36">
      <c r="A28" s="101" t="s">
        <v>13</v>
      </c>
      <c r="B28" s="102" t="s">
        <v>32</v>
      </c>
      <c r="C28" s="102" t="s">
        <v>33</v>
      </c>
      <c r="D28" s="101" t="s">
        <v>34</v>
      </c>
      <c r="E28" s="101" t="s">
        <v>35</v>
      </c>
      <c r="F28" s="102" t="s">
        <v>36</v>
      </c>
      <c r="G28" s="102" t="s">
        <v>37</v>
      </c>
      <c r="H28" s="103" t="s">
        <v>38</v>
      </c>
      <c r="I28" s="126" t="s">
        <v>39</v>
      </c>
    </row>
    <row r="29" spans="1:11" ht="15.75">
      <c r="A29" s="104" t="s">
        <v>22</v>
      </c>
      <c r="B29" s="105">
        <v>0.24</v>
      </c>
      <c r="C29" s="106">
        <v>0</v>
      </c>
      <c r="D29" s="107">
        <v>10</v>
      </c>
      <c r="E29" s="108">
        <f>B29*D29*G34/1000+C29*D29*G32</f>
        <v>120</v>
      </c>
      <c r="F29" s="109">
        <v>0.5</v>
      </c>
      <c r="G29" s="110">
        <v>0</v>
      </c>
      <c r="H29" s="111">
        <f>F29*I25</f>
        <v>22.456007886267813</v>
      </c>
      <c r="I29" s="127">
        <f>E29+H29*G32</f>
        <v>142.4560078862678</v>
      </c>
    </row>
    <row r="30" spans="1:11" ht="15.75">
      <c r="A30" s="104" t="s">
        <v>24</v>
      </c>
      <c r="B30" s="105">
        <f>1000/60/200</f>
        <v>8.3333333333333343E-2</v>
      </c>
      <c r="C30" s="106">
        <v>0</v>
      </c>
      <c r="D30" s="107">
        <v>140</v>
      </c>
      <c r="E30" s="108">
        <f>B30*D30*G34/1000+C30*D30*G32</f>
        <v>583.33333333333337</v>
      </c>
      <c r="F30" s="109">
        <v>2</v>
      </c>
      <c r="G30" s="113">
        <v>5</v>
      </c>
      <c r="H30" s="111">
        <f>F30*(I26+I25)+G30*H26</f>
        <v>142.18455345109993</v>
      </c>
      <c r="I30" s="127">
        <f>E30+H30*G32</f>
        <v>725.51788678443336</v>
      </c>
    </row>
    <row r="31" spans="1:11" ht="24">
      <c r="A31" s="283" t="s">
        <v>41</v>
      </c>
      <c r="B31" s="284"/>
      <c r="C31" s="114" t="s">
        <v>42</v>
      </c>
      <c r="D31" s="114" t="s">
        <v>43</v>
      </c>
      <c r="E31" s="114" t="s">
        <v>44</v>
      </c>
      <c r="F31" s="36" t="s">
        <v>45</v>
      </c>
      <c r="G31" s="37" t="s">
        <v>46</v>
      </c>
      <c r="H31" s="115" t="s">
        <v>47</v>
      </c>
      <c r="I31" s="128">
        <f>SUM(I29:I30)</f>
        <v>867.97389467070116</v>
      </c>
    </row>
    <row r="32" spans="1:11" ht="15">
      <c r="A32" s="285"/>
      <c r="B32" s="286"/>
      <c r="C32" s="71">
        <v>0</v>
      </c>
      <c r="D32" s="72">
        <v>0.9</v>
      </c>
      <c r="E32" s="117">
        <v>1.9E-3</v>
      </c>
      <c r="F32" s="118">
        <v>1.2999999999999999E-2</v>
      </c>
      <c r="G32" s="119">
        <v>1</v>
      </c>
      <c r="H32" s="289" t="s">
        <v>48</v>
      </c>
      <c r="I32" s="306" t="s">
        <v>49</v>
      </c>
    </row>
    <row r="33" spans="1:11" ht="24">
      <c r="A33" s="285"/>
      <c r="B33" s="286"/>
      <c r="C33" s="132" t="s">
        <v>214</v>
      </c>
      <c r="D33" s="44" t="s">
        <v>50</v>
      </c>
      <c r="E33" s="114" t="s">
        <v>51</v>
      </c>
      <c r="F33" s="115" t="s">
        <v>52</v>
      </c>
      <c r="G33" s="120" t="s">
        <v>53</v>
      </c>
      <c r="H33" s="289"/>
      <c r="I33" s="307"/>
    </row>
    <row r="34" spans="1:11" ht="18.75">
      <c r="A34" s="285"/>
      <c r="B34" s="286"/>
      <c r="C34" s="133">
        <f>300/200000*G34</f>
        <v>75</v>
      </c>
      <c r="D34" s="47">
        <v>0.05</v>
      </c>
      <c r="E34" s="76">
        <v>0</v>
      </c>
      <c r="F34" s="49">
        <v>0</v>
      </c>
      <c r="G34" s="50">
        <v>50000</v>
      </c>
      <c r="H34" s="121">
        <f>I31/G34+B27+B27*F32</f>
        <v>0.53365799112323531</v>
      </c>
      <c r="I34" s="129">
        <f>(H34/(1-D34)+C32+E32+E34/G34+C34/G34+C36*D36+D32*G27)*(1+F34)*(1+E36+F36)</f>
        <v>0.59062384838402393</v>
      </c>
    </row>
    <row r="35" spans="1:11">
      <c r="A35" s="285"/>
      <c r="B35" s="286"/>
      <c r="C35" s="36" t="s">
        <v>54</v>
      </c>
      <c r="D35" s="36" t="s">
        <v>55</v>
      </c>
      <c r="E35" s="53" t="s">
        <v>56</v>
      </c>
      <c r="F35" s="53" t="s">
        <v>57</v>
      </c>
      <c r="G35" s="53" t="s">
        <v>58</v>
      </c>
      <c r="H35" s="54" t="s">
        <v>59</v>
      </c>
      <c r="I35" s="130" t="s">
        <v>60</v>
      </c>
    </row>
    <row r="36" spans="1:11" ht="18.75">
      <c r="A36" s="287"/>
      <c r="B36" s="288"/>
      <c r="C36" s="56">
        <v>0</v>
      </c>
      <c r="D36" s="57">
        <v>0</v>
      </c>
      <c r="E36" s="58">
        <f>0.7%</f>
        <v>6.9999999999999993E-3</v>
      </c>
      <c r="F36" s="58">
        <f>0.5%*3</f>
        <v>1.4999999999999999E-2</v>
      </c>
      <c r="G36" s="59">
        <v>0.15</v>
      </c>
      <c r="H36" s="121">
        <f>(H34+C32+E32+E34/G34+C34/G34+C36*D36+D32*G27)*(1+F34)*(1+E36+F36)</f>
        <v>0.56191866591413198</v>
      </c>
      <c r="I36" s="129">
        <f>I34+(I34-H36)*G36</f>
        <v>0.5949296257545077</v>
      </c>
    </row>
    <row r="37" spans="1:11" ht="25.5">
      <c r="A37" s="322" t="s">
        <v>0</v>
      </c>
      <c r="B37" s="322"/>
      <c r="C37" s="322"/>
      <c r="D37" s="322"/>
      <c r="E37" s="322"/>
      <c r="F37" s="322"/>
      <c r="G37" s="322"/>
      <c r="H37" s="322"/>
      <c r="I37" s="322"/>
    </row>
    <row r="38" spans="1:11" ht="25.5">
      <c r="A38" s="147"/>
      <c r="B38" s="148"/>
      <c r="C38" s="148"/>
      <c r="D38" s="148"/>
      <c r="E38" s="148"/>
      <c r="F38" s="148"/>
      <c r="G38" s="148"/>
      <c r="H38" s="149" t="s">
        <v>2</v>
      </c>
      <c r="I38" s="150" t="s">
        <v>88</v>
      </c>
    </row>
    <row r="39" spans="1:11">
      <c r="A39" s="151" t="s">
        <v>5</v>
      </c>
      <c r="B39" s="323"/>
      <c r="C39" s="324"/>
      <c r="D39" s="324"/>
      <c r="E39" s="324"/>
      <c r="F39" s="325"/>
      <c r="G39" s="151" t="s">
        <v>6</v>
      </c>
      <c r="H39" s="296">
        <v>45029</v>
      </c>
      <c r="I39" s="297"/>
    </row>
    <row r="40" spans="1:11" ht="15.75">
      <c r="A40" s="151" t="s">
        <v>8</v>
      </c>
      <c r="B40" s="298" t="s">
        <v>220</v>
      </c>
      <c r="C40" s="298"/>
      <c r="D40" s="298"/>
      <c r="E40" s="298"/>
      <c r="F40" s="298"/>
      <c r="G40" s="151" t="s">
        <v>10</v>
      </c>
      <c r="H40" s="326" t="s">
        <v>221</v>
      </c>
      <c r="I40" s="299"/>
    </row>
    <row r="41" spans="1:11">
      <c r="A41" s="334" t="s">
        <v>12</v>
      </c>
      <c r="B41" s="334" t="s">
        <v>13</v>
      </c>
      <c r="C41" s="300" t="s">
        <v>14</v>
      </c>
      <c r="D41" s="300"/>
      <c r="E41" s="300"/>
      <c r="F41" s="300"/>
      <c r="G41" s="151" t="s">
        <v>15</v>
      </c>
      <c r="H41" s="151" t="s">
        <v>16</v>
      </c>
      <c r="I41" s="151" t="s">
        <v>17</v>
      </c>
    </row>
    <row r="42" spans="1:11" ht="15.75">
      <c r="A42" s="334"/>
      <c r="B42" s="334"/>
      <c r="C42" s="300"/>
      <c r="D42" s="300"/>
      <c r="E42" s="300"/>
      <c r="F42" s="300"/>
      <c r="G42" s="151" t="s">
        <v>18</v>
      </c>
      <c r="H42" s="153" t="s">
        <v>19</v>
      </c>
      <c r="I42" s="153" t="s">
        <v>20</v>
      </c>
    </row>
    <row r="43" spans="1:11" ht="15.75">
      <c r="A43" s="154" t="s">
        <v>21</v>
      </c>
      <c r="B43" s="104" t="s">
        <v>22</v>
      </c>
      <c r="C43" s="281" t="s">
        <v>220</v>
      </c>
      <c r="D43" s="281"/>
      <c r="E43" s="281"/>
      <c r="F43" s="281"/>
      <c r="G43" s="155">
        <f>0.252^2*0.7854*8.89/10*1.015*26</f>
        <v>1.1701273479255361</v>
      </c>
      <c r="H43" s="10">
        <f>(J43+1300)/1.13/1000+3.79</f>
        <v>66.887345132743377</v>
      </c>
      <c r="I43" s="156">
        <f>G43*H43</f>
        <v>78.266711769957027</v>
      </c>
      <c r="J43" s="134">
        <v>70000</v>
      </c>
    </row>
    <row r="44" spans="1:11" ht="15.75">
      <c r="A44" s="154">
        <v>2</v>
      </c>
      <c r="B44" s="151" t="s">
        <v>27</v>
      </c>
      <c r="C44" s="281" t="s">
        <v>222</v>
      </c>
      <c r="D44" s="281"/>
      <c r="E44" s="281"/>
      <c r="F44" s="281"/>
      <c r="G44" s="155">
        <f>(2.45^2-1.48^2*0.85)*0.7854*1.47/10</f>
        <v>0.47805493150800016</v>
      </c>
      <c r="H44" s="13">
        <v>7.94</v>
      </c>
      <c r="I44" s="156">
        <f>G44*H44</f>
        <v>3.7957561561735216</v>
      </c>
    </row>
    <row r="45" spans="1:11" ht="15.75">
      <c r="A45" s="157" t="s">
        <v>29</v>
      </c>
      <c r="B45" s="158">
        <f>I45/100</f>
        <v>0.82062467926130556</v>
      </c>
      <c r="C45" s="335" t="s">
        <v>30</v>
      </c>
      <c r="D45" s="335"/>
      <c r="E45" s="335"/>
      <c r="F45" s="335"/>
      <c r="G45" s="159">
        <f>SUM(G43:G44)/100</f>
        <v>1.6481822794335362E-2</v>
      </c>
      <c r="H45" s="160" t="s">
        <v>31</v>
      </c>
      <c r="I45" s="161">
        <f>SUM(I43:I44)</f>
        <v>82.062467926130552</v>
      </c>
      <c r="J45" s="66">
        <f>B45/I54</f>
        <v>0.87327647918831486</v>
      </c>
      <c r="K45" s="78">
        <f>G45*G52</f>
        <v>824.09113971676811</v>
      </c>
    </row>
    <row r="46" spans="1:11" ht="36">
      <c r="A46" s="162" t="s">
        <v>13</v>
      </c>
      <c r="B46" s="163" t="s">
        <v>32</v>
      </c>
      <c r="C46" s="163" t="s">
        <v>33</v>
      </c>
      <c r="D46" s="162" t="s">
        <v>34</v>
      </c>
      <c r="E46" s="162" t="s">
        <v>35</v>
      </c>
      <c r="F46" s="163" t="s">
        <v>36</v>
      </c>
      <c r="G46" s="163" t="s">
        <v>37</v>
      </c>
      <c r="H46" s="164" t="s">
        <v>38</v>
      </c>
      <c r="I46" s="162" t="s">
        <v>39</v>
      </c>
    </row>
    <row r="47" spans="1:11" ht="15.75">
      <c r="A47" s="104" t="s">
        <v>22</v>
      </c>
      <c r="B47" s="165">
        <v>0.24</v>
      </c>
      <c r="C47" s="166">
        <v>0</v>
      </c>
      <c r="D47" s="107">
        <v>10</v>
      </c>
      <c r="E47" s="107">
        <f>B47*D47*G52/1000+C47*D47*G50</f>
        <v>120</v>
      </c>
      <c r="F47" s="167">
        <v>0.5</v>
      </c>
      <c r="G47" s="111">
        <v>0</v>
      </c>
      <c r="H47" s="111">
        <f>F47*I43</f>
        <v>39.133355884978513</v>
      </c>
      <c r="I47" s="112">
        <f>E47+H47*G50</f>
        <v>159.13335588497853</v>
      </c>
    </row>
    <row r="48" spans="1:11" ht="15.75">
      <c r="A48" s="151" t="s">
        <v>27</v>
      </c>
      <c r="B48" s="168">
        <f>1000/60/220</f>
        <v>7.575757575757576E-2</v>
      </c>
      <c r="C48" s="166">
        <v>0</v>
      </c>
      <c r="D48" s="107">
        <v>140</v>
      </c>
      <c r="E48" s="107">
        <f>B48*D48*G52/1000+C48*D48*G50</f>
        <v>530.30303030303025</v>
      </c>
      <c r="F48" s="167">
        <v>1.5</v>
      </c>
      <c r="G48" s="111">
        <v>2</v>
      </c>
      <c r="H48" s="111">
        <f>F48*I45+G48*H44</f>
        <v>138.97370188919584</v>
      </c>
      <c r="I48" s="112">
        <f>E48+H48*G50</f>
        <v>669.27673219222606</v>
      </c>
    </row>
    <row r="49" spans="1:11" ht="24">
      <c r="A49" s="283" t="s">
        <v>41</v>
      </c>
      <c r="B49" s="284"/>
      <c r="C49" s="114" t="s">
        <v>42</v>
      </c>
      <c r="D49" s="114" t="s">
        <v>43</v>
      </c>
      <c r="E49" s="114" t="s">
        <v>44</v>
      </c>
      <c r="F49" s="169" t="s">
        <v>45</v>
      </c>
      <c r="G49" s="170" t="s">
        <v>46</v>
      </c>
      <c r="H49" s="115" t="s">
        <v>47</v>
      </c>
      <c r="I49" s="116">
        <f>SUM(I47:I48)</f>
        <v>828.41008807720459</v>
      </c>
    </row>
    <row r="50" spans="1:11" ht="15">
      <c r="A50" s="285"/>
      <c r="B50" s="286"/>
      <c r="C50" s="181">
        <f>0.0074/3</f>
        <v>2.4666666666666669E-3</v>
      </c>
      <c r="D50" s="72">
        <v>0.9</v>
      </c>
      <c r="E50" s="117">
        <v>1.5E-3</v>
      </c>
      <c r="F50" s="118">
        <v>1.2999999999999999E-2</v>
      </c>
      <c r="G50" s="171">
        <v>1</v>
      </c>
      <c r="H50" s="289" t="s">
        <v>48</v>
      </c>
      <c r="I50" s="332" t="s">
        <v>49</v>
      </c>
    </row>
    <row r="51" spans="1:11" ht="24">
      <c r="A51" s="285"/>
      <c r="B51" s="286"/>
      <c r="C51" s="132" t="s">
        <v>214</v>
      </c>
      <c r="D51" s="44" t="s">
        <v>50</v>
      </c>
      <c r="E51" s="114" t="s">
        <v>51</v>
      </c>
      <c r="F51" s="115" t="s">
        <v>52</v>
      </c>
      <c r="G51" s="120" t="s">
        <v>53</v>
      </c>
      <c r="H51" s="289"/>
      <c r="I51" s="333"/>
    </row>
    <row r="52" spans="1:11" ht="18.75">
      <c r="A52" s="285"/>
      <c r="B52" s="286"/>
      <c r="C52" s="133">
        <f>300/200000*G52</f>
        <v>75</v>
      </c>
      <c r="D52" s="47">
        <v>0.05</v>
      </c>
      <c r="E52" s="76">
        <v>0</v>
      </c>
      <c r="F52" s="49">
        <v>0</v>
      </c>
      <c r="G52" s="50">
        <v>50000</v>
      </c>
      <c r="H52" s="121">
        <f>I49/G52+B45+B45*F50</f>
        <v>0.84786100185324653</v>
      </c>
      <c r="I52" s="179">
        <f>(H52/(1-D52)+C50+E50+E52/G52+C52/G52+C54*D54+D50*G45)*(1+F52)*(1+E54+F54)</f>
        <v>0.93286685488063437</v>
      </c>
    </row>
    <row r="53" spans="1:11">
      <c r="A53" s="285"/>
      <c r="B53" s="286"/>
      <c r="C53" s="169" t="s">
        <v>54</v>
      </c>
      <c r="D53" s="169" t="s">
        <v>55</v>
      </c>
      <c r="E53" s="53" t="s">
        <v>56</v>
      </c>
      <c r="F53" s="53" t="s">
        <v>57</v>
      </c>
      <c r="G53" s="53" t="s">
        <v>58</v>
      </c>
      <c r="H53" s="172" t="s">
        <v>59</v>
      </c>
      <c r="I53" s="180" t="s">
        <v>60</v>
      </c>
    </row>
    <row r="54" spans="1:11" ht="18.75">
      <c r="A54" s="287"/>
      <c r="B54" s="288"/>
      <c r="C54" s="173">
        <v>0</v>
      </c>
      <c r="D54" s="57">
        <v>0</v>
      </c>
      <c r="E54" s="58">
        <f>0.7%</f>
        <v>6.9999999999999993E-3</v>
      </c>
      <c r="F54" s="58">
        <f>0.5%*3</f>
        <v>1.4999999999999999E-2</v>
      </c>
      <c r="G54" s="59">
        <v>0.15</v>
      </c>
      <c r="H54" s="121">
        <f>(H52+C50+E50+E52/G52+C52/G52+C54*D54+D50*G45)*(1+F52)*(1+E54+F54)</f>
        <v>0.88726085783358066</v>
      </c>
      <c r="I54" s="179">
        <f>I52+(I52-H54)*G54</f>
        <v>0.93970775443769239</v>
      </c>
    </row>
    <row r="55" spans="1:11" ht="25.5">
      <c r="A55" s="322" t="s">
        <v>0</v>
      </c>
      <c r="B55" s="322"/>
      <c r="C55" s="322"/>
      <c r="D55" s="322"/>
      <c r="E55" s="322"/>
      <c r="F55" s="322"/>
      <c r="G55" s="322"/>
      <c r="H55" s="322"/>
      <c r="I55" s="322"/>
    </row>
    <row r="56" spans="1:11" ht="25.5">
      <c r="A56" s="147"/>
      <c r="B56" s="174"/>
      <c r="C56" s="174"/>
      <c r="D56" s="174"/>
      <c r="E56" s="174"/>
      <c r="F56" s="174"/>
      <c r="G56" s="174"/>
      <c r="H56" s="175" t="s">
        <v>2</v>
      </c>
      <c r="I56" s="176" t="s">
        <v>91</v>
      </c>
    </row>
    <row r="57" spans="1:11">
      <c r="A57" s="151" t="s">
        <v>5</v>
      </c>
      <c r="B57" s="323" t="s">
        <v>223</v>
      </c>
      <c r="C57" s="324"/>
      <c r="D57" s="324"/>
      <c r="E57" s="324"/>
      <c r="F57" s="325"/>
      <c r="G57" s="151" t="s">
        <v>6</v>
      </c>
      <c r="H57" s="296">
        <v>45120</v>
      </c>
      <c r="I57" s="297"/>
    </row>
    <row r="58" spans="1:11" ht="15.75">
      <c r="A58" s="151" t="s">
        <v>8</v>
      </c>
      <c r="B58" s="298" t="s">
        <v>224</v>
      </c>
      <c r="C58" s="298"/>
      <c r="D58" s="298"/>
      <c r="E58" s="298"/>
      <c r="F58" s="298"/>
      <c r="G58" s="151" t="s">
        <v>10</v>
      </c>
      <c r="H58" s="326" t="s">
        <v>225</v>
      </c>
      <c r="I58" s="299"/>
    </row>
    <row r="59" spans="1:11">
      <c r="A59" s="334" t="s">
        <v>12</v>
      </c>
      <c r="B59" s="334" t="s">
        <v>13</v>
      </c>
      <c r="C59" s="336" t="s">
        <v>14</v>
      </c>
      <c r="D59" s="337"/>
      <c r="E59" s="337"/>
      <c r="F59" s="338"/>
      <c r="G59" s="151" t="s">
        <v>15</v>
      </c>
      <c r="H59" s="151" t="s">
        <v>16</v>
      </c>
      <c r="I59" s="151" t="s">
        <v>17</v>
      </c>
    </row>
    <row r="60" spans="1:11" ht="15.75">
      <c r="A60" s="334"/>
      <c r="B60" s="334"/>
      <c r="C60" s="339"/>
      <c r="D60" s="340"/>
      <c r="E60" s="340"/>
      <c r="F60" s="341"/>
      <c r="G60" s="151" t="s">
        <v>18</v>
      </c>
      <c r="H60" s="153" t="s">
        <v>19</v>
      </c>
      <c r="I60" s="153" t="s">
        <v>20</v>
      </c>
    </row>
    <row r="61" spans="1:11" ht="15.75">
      <c r="A61" s="154" t="s">
        <v>21</v>
      </c>
      <c r="B61" s="151" t="s">
        <v>22</v>
      </c>
      <c r="C61" s="281" t="s">
        <v>226</v>
      </c>
      <c r="D61" s="281"/>
      <c r="E61" s="281"/>
      <c r="F61" s="281"/>
      <c r="G61" s="155">
        <f>0.155^2*0.7854*8.89/10*17*1.015</f>
        <v>0.28944830978332503</v>
      </c>
      <c r="H61" s="10">
        <f>(J61+1300)/1.13/1000+4.49</f>
        <v>67.587345132743366</v>
      </c>
      <c r="I61" s="156">
        <f>G61*H61</f>
        <v>19.563042811414807</v>
      </c>
      <c r="J61" s="134">
        <v>70000</v>
      </c>
    </row>
    <row r="62" spans="1:11" ht="15.75">
      <c r="A62" s="154">
        <v>2</v>
      </c>
      <c r="B62" s="151" t="s">
        <v>27</v>
      </c>
      <c r="C62" s="281" t="s">
        <v>227</v>
      </c>
      <c r="D62" s="281"/>
      <c r="E62" s="281"/>
      <c r="F62" s="281"/>
      <c r="G62" s="155">
        <f>(1.63^2-0.72^2*0.85)*0.7854*1.47/10</f>
        <v>0.25587563878799996</v>
      </c>
      <c r="H62" s="13">
        <v>7.94</v>
      </c>
      <c r="I62" s="156">
        <f>G62*H62</f>
        <v>2.0316525719767196</v>
      </c>
    </row>
    <row r="63" spans="1:11" ht="15.75">
      <c r="A63" s="177" t="s">
        <v>29</v>
      </c>
      <c r="B63" s="97">
        <f>I63/100</f>
        <v>0.21594695383391524</v>
      </c>
      <c r="C63" s="331"/>
      <c r="D63" s="331"/>
      <c r="E63" s="331"/>
      <c r="F63" s="331"/>
      <c r="G63" s="97">
        <f>SUM(G61:G62)/100</f>
        <v>5.4532394857132504E-3</v>
      </c>
      <c r="H63" s="99" t="s">
        <v>31</v>
      </c>
      <c r="I63" s="100">
        <f>SUM(I61:I62)</f>
        <v>21.594695383391525</v>
      </c>
      <c r="J63" s="66">
        <f>B63/I72</f>
        <v>0.81892919230802852</v>
      </c>
      <c r="K63" s="78">
        <f>G63*G70</f>
        <v>272.6619742856625</v>
      </c>
    </row>
    <row r="64" spans="1:11" ht="36">
      <c r="A64" s="162" t="s">
        <v>13</v>
      </c>
      <c r="B64" s="163" t="s">
        <v>32</v>
      </c>
      <c r="C64" s="163" t="s">
        <v>33</v>
      </c>
      <c r="D64" s="162" t="s">
        <v>34</v>
      </c>
      <c r="E64" s="162" t="s">
        <v>35</v>
      </c>
      <c r="F64" s="163" t="s">
        <v>36</v>
      </c>
      <c r="G64" s="163" t="s">
        <v>37</v>
      </c>
      <c r="H64" s="164" t="s">
        <v>38</v>
      </c>
      <c r="I64" s="162" t="s">
        <v>39</v>
      </c>
    </row>
    <row r="65" spans="1:10" ht="15.75">
      <c r="A65" s="104" t="s">
        <v>22</v>
      </c>
      <c r="B65" s="165">
        <v>0.28599999999999998</v>
      </c>
      <c r="C65" s="166">
        <v>0</v>
      </c>
      <c r="D65" s="107">
        <v>10</v>
      </c>
      <c r="E65" s="107">
        <f>B65*D65*G70/1000+C65*D65*G68</f>
        <v>143</v>
      </c>
      <c r="F65" s="167">
        <v>0.5</v>
      </c>
      <c r="G65" s="178">
        <v>0</v>
      </c>
      <c r="H65" s="111">
        <f>F65*I61</f>
        <v>9.7815214057074034</v>
      </c>
      <c r="I65" s="112">
        <f>E65+H65*G68</f>
        <v>152.78152140570739</v>
      </c>
    </row>
    <row r="66" spans="1:10" ht="15.75">
      <c r="A66" s="151" t="s">
        <v>27</v>
      </c>
      <c r="B66" s="168">
        <f>1000/60/250</f>
        <v>6.6666666666666666E-2</v>
      </c>
      <c r="C66" s="166">
        <v>0</v>
      </c>
      <c r="D66" s="107">
        <v>120</v>
      </c>
      <c r="E66" s="107">
        <f>B66*D66*G70/1000+C66*D66*G68</f>
        <v>400</v>
      </c>
      <c r="F66" s="167">
        <v>1.5</v>
      </c>
      <c r="G66" s="111">
        <v>2</v>
      </c>
      <c r="H66" s="111">
        <f>F66*I63+G66*H62</f>
        <v>48.272043075087289</v>
      </c>
      <c r="I66" s="112">
        <f>E66+H66*G68</f>
        <v>448.27204307508731</v>
      </c>
    </row>
    <row r="67" spans="1:10" ht="24">
      <c r="A67" s="283" t="s">
        <v>41</v>
      </c>
      <c r="B67" s="284"/>
      <c r="C67" s="114" t="s">
        <v>42</v>
      </c>
      <c r="D67" s="114" t="s">
        <v>43</v>
      </c>
      <c r="E67" s="114" t="s">
        <v>44</v>
      </c>
      <c r="F67" s="36" t="s">
        <v>45</v>
      </c>
      <c r="G67" s="37" t="s">
        <v>46</v>
      </c>
      <c r="H67" s="115" t="s">
        <v>47</v>
      </c>
      <c r="I67" s="116">
        <f>SUM(I65:I66)</f>
        <v>601.05356448079465</v>
      </c>
    </row>
    <row r="68" spans="1:10" ht="15">
      <c r="A68" s="285"/>
      <c r="B68" s="286"/>
      <c r="C68" s="181">
        <f>0.0074/3</f>
        <v>2.4666666666666669E-3</v>
      </c>
      <c r="D68" s="72">
        <v>0.9</v>
      </c>
      <c r="E68" s="117">
        <v>4.4000000000000003E-3</v>
      </c>
      <c r="F68" s="118">
        <v>1.2999999999999999E-2</v>
      </c>
      <c r="G68" s="119">
        <v>1</v>
      </c>
      <c r="H68" s="289" t="s">
        <v>48</v>
      </c>
      <c r="I68" s="272" t="s">
        <v>49</v>
      </c>
    </row>
    <row r="69" spans="1:10" ht="24">
      <c r="A69" s="285"/>
      <c r="B69" s="286"/>
      <c r="C69" s="132" t="s">
        <v>214</v>
      </c>
      <c r="D69" s="44" t="s">
        <v>50</v>
      </c>
      <c r="E69" s="114" t="s">
        <v>51</v>
      </c>
      <c r="F69" s="115" t="s">
        <v>52</v>
      </c>
      <c r="G69" s="120" t="s">
        <v>53</v>
      </c>
      <c r="H69" s="289"/>
      <c r="I69" s="273"/>
    </row>
    <row r="70" spans="1:10" ht="18.75">
      <c r="A70" s="285"/>
      <c r="B70" s="286"/>
      <c r="C70" s="133">
        <f>300/200000*G70</f>
        <v>75</v>
      </c>
      <c r="D70" s="47">
        <v>0.05</v>
      </c>
      <c r="E70" s="76">
        <v>0</v>
      </c>
      <c r="F70" s="49">
        <v>0</v>
      </c>
      <c r="G70" s="50">
        <v>50000</v>
      </c>
      <c r="H70" s="121">
        <f>I67/G70+B63+B63*F68</f>
        <v>0.23077533552337201</v>
      </c>
      <c r="I70" s="179">
        <f>(H70/(1-D70)+C68+E68+E70/G70+C70/G70+C72*D72+D68*G63)*(1+F70)*(1+E72+F72)</f>
        <v>0.2618322997542778</v>
      </c>
    </row>
    <row r="71" spans="1:10">
      <c r="A71" s="285"/>
      <c r="B71" s="286"/>
      <c r="C71" s="36" t="s">
        <v>54</v>
      </c>
      <c r="D71" s="36" t="s">
        <v>55</v>
      </c>
      <c r="E71" s="53" t="s">
        <v>56</v>
      </c>
      <c r="F71" s="53" t="s">
        <v>57</v>
      </c>
      <c r="G71" s="53" t="s">
        <v>58</v>
      </c>
      <c r="H71" s="54" t="s">
        <v>59</v>
      </c>
      <c r="I71" s="180" t="s">
        <v>60</v>
      </c>
    </row>
    <row r="72" spans="1:10" ht="18.75">
      <c r="A72" s="287"/>
      <c r="B72" s="288"/>
      <c r="C72" s="56">
        <v>0</v>
      </c>
      <c r="D72" s="57">
        <v>0</v>
      </c>
      <c r="E72" s="58">
        <f>0.7%</f>
        <v>6.9999999999999993E-3</v>
      </c>
      <c r="F72" s="58">
        <f>0.5%*3</f>
        <v>1.4999999999999999E-2</v>
      </c>
      <c r="G72" s="59">
        <v>0.15</v>
      </c>
      <c r="H72" s="121">
        <f>(H70+C68+E68+E70/G70+C70/G70+C72*D72+D68*G63)*(1+F70)*(1+E72+F72)</f>
        <v>0.24941901591717852</v>
      </c>
      <c r="I72" s="179">
        <f>I70+(I70-H72)*G72</f>
        <v>0.26369429232984271</v>
      </c>
    </row>
    <row r="73" spans="1:10" ht="25.5">
      <c r="A73" s="322" t="s">
        <v>0</v>
      </c>
      <c r="B73" s="322"/>
      <c r="C73" s="322"/>
      <c r="D73" s="322"/>
      <c r="E73" s="322"/>
      <c r="F73" s="322"/>
      <c r="G73" s="322"/>
      <c r="H73" s="322"/>
      <c r="I73" s="322"/>
    </row>
    <row r="74" spans="1:10" ht="25.5">
      <c r="A74" s="147"/>
      <c r="B74" s="174"/>
      <c r="C74" s="174"/>
      <c r="D74" s="174"/>
      <c r="E74" s="174"/>
      <c r="F74" s="174"/>
      <c r="G74" s="174"/>
      <c r="H74" s="175" t="s">
        <v>2</v>
      </c>
      <c r="I74" s="176" t="s">
        <v>101</v>
      </c>
    </row>
    <row r="75" spans="1:10">
      <c r="A75" s="151" t="s">
        <v>5</v>
      </c>
      <c r="B75" s="323" t="s">
        <v>228</v>
      </c>
      <c r="C75" s="324"/>
      <c r="D75" s="324"/>
      <c r="E75" s="324"/>
      <c r="F75" s="325"/>
      <c r="G75" s="151" t="s">
        <v>6</v>
      </c>
      <c r="H75" s="296">
        <v>45120</v>
      </c>
      <c r="I75" s="297"/>
    </row>
    <row r="76" spans="1:10" ht="15.75">
      <c r="A76" s="151" t="s">
        <v>8</v>
      </c>
      <c r="B76" s="298" t="s">
        <v>229</v>
      </c>
      <c r="C76" s="298"/>
      <c r="D76" s="298"/>
      <c r="E76" s="298"/>
      <c r="F76" s="298"/>
      <c r="G76" s="151" t="s">
        <v>10</v>
      </c>
      <c r="H76" s="326" t="s">
        <v>230</v>
      </c>
      <c r="I76" s="299"/>
    </row>
    <row r="77" spans="1:10">
      <c r="A77" s="334" t="s">
        <v>12</v>
      </c>
      <c r="B77" s="334" t="s">
        <v>13</v>
      </c>
      <c r="C77" s="336" t="s">
        <v>14</v>
      </c>
      <c r="D77" s="337"/>
      <c r="E77" s="337"/>
      <c r="F77" s="338"/>
      <c r="G77" s="151" t="s">
        <v>15</v>
      </c>
      <c r="H77" s="151" t="s">
        <v>16</v>
      </c>
      <c r="I77" s="151" t="s">
        <v>17</v>
      </c>
    </row>
    <row r="78" spans="1:10" ht="15.75">
      <c r="A78" s="334"/>
      <c r="B78" s="334"/>
      <c r="C78" s="339"/>
      <c r="D78" s="340"/>
      <c r="E78" s="340"/>
      <c r="F78" s="341"/>
      <c r="G78" s="151" t="s">
        <v>18</v>
      </c>
      <c r="H78" s="153" t="s">
        <v>19</v>
      </c>
      <c r="I78" s="153" t="s">
        <v>20</v>
      </c>
    </row>
    <row r="79" spans="1:10" ht="15.75">
      <c r="A79" s="154" t="s">
        <v>21</v>
      </c>
      <c r="B79" s="151" t="s">
        <v>22</v>
      </c>
      <c r="C79" s="281" t="s">
        <v>231</v>
      </c>
      <c r="D79" s="281"/>
      <c r="E79" s="281"/>
      <c r="F79" s="281"/>
      <c r="G79" s="155">
        <f>0.155^2*0.7854*8.89/10*7*1.015</f>
        <v>0.11918459814607503</v>
      </c>
      <c r="H79" s="10">
        <f>(J79+1300)/1.13/1000+4.49</f>
        <v>67.587345132743366</v>
      </c>
      <c r="I79" s="156">
        <f>G79*H79</f>
        <v>8.0553705694060973</v>
      </c>
      <c r="J79" s="134">
        <v>70000</v>
      </c>
    </row>
    <row r="80" spans="1:10" ht="15.75">
      <c r="A80" s="154">
        <v>2</v>
      </c>
      <c r="B80" s="151" t="s">
        <v>27</v>
      </c>
      <c r="C80" s="281" t="s">
        <v>232</v>
      </c>
      <c r="D80" s="281"/>
      <c r="E80" s="281"/>
      <c r="F80" s="281"/>
      <c r="G80" s="155">
        <f>(1.32^2-0.46^2*0.85)*0.7854*1.47/10</f>
        <v>0.18040118065200003</v>
      </c>
      <c r="H80" s="13">
        <v>7.94</v>
      </c>
      <c r="I80" s="156">
        <f>G80*H80</f>
        <v>1.4323853743768804</v>
      </c>
    </row>
    <row r="81" spans="1:11" ht="15.75">
      <c r="A81" s="177" t="s">
        <v>29</v>
      </c>
      <c r="B81" s="97">
        <f>I81/100</f>
        <v>9.4877559437829773E-2</v>
      </c>
      <c r="C81" s="331"/>
      <c r="D81" s="331"/>
      <c r="E81" s="331"/>
      <c r="F81" s="331"/>
      <c r="G81" s="97">
        <f>SUM(G79:G80)/100</f>
        <v>2.9958577879807507E-3</v>
      </c>
      <c r="H81" s="99" t="s">
        <v>31</v>
      </c>
      <c r="I81" s="100">
        <f>SUM(I79:I80)</f>
        <v>9.487755943782977</v>
      </c>
      <c r="J81" s="66">
        <f>B81/I90</f>
        <v>0.75070078822737196</v>
      </c>
      <c r="K81" s="78">
        <f>G81*G88</f>
        <v>149.79288939903753</v>
      </c>
    </row>
    <row r="82" spans="1:11" ht="36">
      <c r="A82" s="162" t="s">
        <v>13</v>
      </c>
      <c r="B82" s="163" t="s">
        <v>32</v>
      </c>
      <c r="C82" s="163" t="s">
        <v>33</v>
      </c>
      <c r="D82" s="162" t="s">
        <v>34</v>
      </c>
      <c r="E82" s="162" t="s">
        <v>35</v>
      </c>
      <c r="F82" s="163" t="s">
        <v>36</v>
      </c>
      <c r="G82" s="163" t="s">
        <v>37</v>
      </c>
      <c r="H82" s="164" t="s">
        <v>38</v>
      </c>
      <c r="I82" s="162" t="s">
        <v>39</v>
      </c>
    </row>
    <row r="83" spans="1:11" ht="15.75">
      <c r="A83" s="104" t="s">
        <v>22</v>
      </c>
      <c r="B83" s="165">
        <v>0.4</v>
      </c>
      <c r="C83" s="166">
        <v>0</v>
      </c>
      <c r="D83" s="107">
        <v>8</v>
      </c>
      <c r="E83" s="107">
        <f>B83*D83*G88/1000+C83*D83*G86</f>
        <v>160</v>
      </c>
      <c r="F83" s="167">
        <v>0.5</v>
      </c>
      <c r="G83" s="178">
        <v>0</v>
      </c>
      <c r="H83" s="111">
        <f>F83*I79</f>
        <v>4.0276852847030487</v>
      </c>
      <c r="I83" s="112">
        <f>E83+H83*G86</f>
        <v>164.02768528470304</v>
      </c>
    </row>
    <row r="84" spans="1:11" ht="15.75">
      <c r="A84" s="151" t="s">
        <v>27</v>
      </c>
      <c r="B84" s="168">
        <f>1000/60/270</f>
        <v>6.1728395061728399E-2</v>
      </c>
      <c r="C84" s="166">
        <v>0</v>
      </c>
      <c r="D84" s="107">
        <v>120</v>
      </c>
      <c r="E84" s="107">
        <f>B84*D84*G88/1000+C84*D84*G86</f>
        <v>370.37037037037038</v>
      </c>
      <c r="F84" s="167">
        <v>1.5</v>
      </c>
      <c r="G84" s="111">
        <v>2</v>
      </c>
      <c r="H84" s="111">
        <f>F84*I81+G84*H80</f>
        <v>30.111633915674467</v>
      </c>
      <c r="I84" s="112">
        <f>E84+H84*G86</f>
        <v>400.48200428604486</v>
      </c>
    </row>
    <row r="85" spans="1:11" ht="24">
      <c r="A85" s="283" t="s">
        <v>41</v>
      </c>
      <c r="B85" s="284"/>
      <c r="C85" s="114" t="s">
        <v>42</v>
      </c>
      <c r="D85" s="114" t="s">
        <v>43</v>
      </c>
      <c r="E85" s="114" t="s">
        <v>44</v>
      </c>
      <c r="F85" s="36" t="s">
        <v>45</v>
      </c>
      <c r="G85" s="37" t="s">
        <v>46</v>
      </c>
      <c r="H85" s="115" t="s">
        <v>47</v>
      </c>
      <c r="I85" s="116">
        <f>SUM(I83:I84)</f>
        <v>564.50968957074792</v>
      </c>
    </row>
    <row r="86" spans="1:11" ht="15">
      <c r="A86" s="285"/>
      <c r="B86" s="286"/>
      <c r="C86" s="181">
        <f>0.0074/3</f>
        <v>2.4666666666666669E-3</v>
      </c>
      <c r="D86" s="72">
        <v>0.9</v>
      </c>
      <c r="E86" s="117">
        <v>3.0999999999999999E-3</v>
      </c>
      <c r="F86" s="118">
        <v>1.2999999999999999E-2</v>
      </c>
      <c r="G86" s="119">
        <v>1</v>
      </c>
      <c r="H86" s="289" t="s">
        <v>48</v>
      </c>
      <c r="I86" s="272" t="s">
        <v>49</v>
      </c>
    </row>
    <row r="87" spans="1:11" ht="24">
      <c r="A87" s="285"/>
      <c r="B87" s="286"/>
      <c r="C87" s="132" t="s">
        <v>214</v>
      </c>
      <c r="D87" s="44" t="s">
        <v>50</v>
      </c>
      <c r="E87" s="114" t="s">
        <v>51</v>
      </c>
      <c r="F87" s="115" t="s">
        <v>52</v>
      </c>
      <c r="G87" s="120" t="s">
        <v>53</v>
      </c>
      <c r="H87" s="289"/>
      <c r="I87" s="273"/>
    </row>
    <row r="88" spans="1:11" ht="18.75">
      <c r="A88" s="285"/>
      <c r="B88" s="286"/>
      <c r="C88" s="133">
        <f>300/200000*G88</f>
        <v>75</v>
      </c>
      <c r="D88" s="47">
        <v>0.05</v>
      </c>
      <c r="E88" s="76">
        <v>0</v>
      </c>
      <c r="F88" s="49">
        <v>0</v>
      </c>
      <c r="G88" s="50">
        <v>50000</v>
      </c>
      <c r="H88" s="121">
        <f>I85/G88+B81+B81*F86</f>
        <v>0.10740116150193653</v>
      </c>
      <c r="I88" s="179">
        <f>(H88/(1-D88)+C86+E86+E88/G88+C88/G88+C90*D90+D86*G81)*(1+F88)*(1+E90+F90)</f>
        <v>0.12551876233195922</v>
      </c>
    </row>
    <row r="89" spans="1:11">
      <c r="A89" s="285"/>
      <c r="B89" s="286"/>
      <c r="C89" s="36" t="s">
        <v>54</v>
      </c>
      <c r="D89" s="36" t="s">
        <v>55</v>
      </c>
      <c r="E89" s="53" t="s">
        <v>56</v>
      </c>
      <c r="F89" s="53" t="s">
        <v>57</v>
      </c>
      <c r="G89" s="53" t="s">
        <v>58</v>
      </c>
      <c r="H89" s="54" t="s">
        <v>59</v>
      </c>
      <c r="I89" s="180" t="s">
        <v>60</v>
      </c>
    </row>
    <row r="90" spans="1:11" ht="18.75">
      <c r="A90" s="287"/>
      <c r="B90" s="288"/>
      <c r="C90" s="56">
        <v>0</v>
      </c>
      <c r="D90" s="57">
        <v>0</v>
      </c>
      <c r="E90" s="58">
        <f>0.7%</f>
        <v>6.9999999999999993E-3</v>
      </c>
      <c r="F90" s="58">
        <f>0.5%*3</f>
        <v>1.4999999999999999E-2</v>
      </c>
      <c r="G90" s="59">
        <v>0.15</v>
      </c>
      <c r="H90" s="121">
        <f>(H88+C86+E86+E88/G88+C88/G88+C90*D90+D86*G81)*(1+F88)*(1+E90+F90)</f>
        <v>0.11974171038169716</v>
      </c>
      <c r="I90" s="179">
        <f>I88+(I88-H90)*G90</f>
        <v>0.12638532012449852</v>
      </c>
    </row>
    <row r="91" spans="1:11" ht="25.5">
      <c r="A91" s="322" t="s">
        <v>0</v>
      </c>
      <c r="B91" s="322"/>
      <c r="C91" s="322"/>
      <c r="D91" s="322"/>
      <c r="E91" s="322"/>
      <c r="F91" s="322"/>
      <c r="G91" s="322"/>
      <c r="H91" s="322"/>
      <c r="I91" s="322"/>
    </row>
    <row r="92" spans="1:11" ht="25.5">
      <c r="A92" s="147"/>
      <c r="B92" s="182"/>
      <c r="C92" s="182"/>
      <c r="D92" s="182"/>
      <c r="E92" s="182"/>
      <c r="F92" s="182"/>
      <c r="G92" s="182"/>
      <c r="H92" s="175" t="s">
        <v>2</v>
      </c>
      <c r="I92" s="183" t="s">
        <v>104</v>
      </c>
    </row>
    <row r="93" spans="1:11">
      <c r="A93" s="151" t="s">
        <v>5</v>
      </c>
      <c r="B93" s="323"/>
      <c r="C93" s="324"/>
      <c r="D93" s="324"/>
      <c r="E93" s="324"/>
      <c r="F93" s="325"/>
      <c r="G93" s="151" t="s">
        <v>6</v>
      </c>
      <c r="H93" s="296">
        <v>45120</v>
      </c>
      <c r="I93" s="297"/>
    </row>
    <row r="94" spans="1:11" ht="15.75">
      <c r="A94" s="151" t="s">
        <v>8</v>
      </c>
      <c r="B94" s="303" t="s">
        <v>249</v>
      </c>
      <c r="C94" s="304"/>
      <c r="D94" s="304"/>
      <c r="E94" s="304"/>
      <c r="F94" s="305"/>
      <c r="G94" s="151" t="s">
        <v>10</v>
      </c>
      <c r="H94" s="350" t="s">
        <v>250</v>
      </c>
      <c r="I94" s="351"/>
    </row>
    <row r="95" spans="1:11">
      <c r="A95" s="352" t="s">
        <v>12</v>
      </c>
      <c r="B95" s="352" t="s">
        <v>13</v>
      </c>
      <c r="C95" s="354" t="s">
        <v>14</v>
      </c>
      <c r="D95" s="355"/>
      <c r="E95" s="355"/>
      <c r="F95" s="356"/>
      <c r="G95" s="151" t="s">
        <v>15</v>
      </c>
      <c r="H95" s="151" t="s">
        <v>16</v>
      </c>
      <c r="I95" s="151" t="s">
        <v>17</v>
      </c>
    </row>
    <row r="96" spans="1:11" ht="15.75">
      <c r="A96" s="353"/>
      <c r="B96" s="353"/>
      <c r="C96" s="357"/>
      <c r="D96" s="358"/>
      <c r="E96" s="358"/>
      <c r="F96" s="359"/>
      <c r="G96" s="151" t="s">
        <v>18</v>
      </c>
      <c r="H96" s="153" t="s">
        <v>19</v>
      </c>
      <c r="I96" s="153" t="s">
        <v>20</v>
      </c>
    </row>
    <row r="97" spans="1:11" ht="15.75">
      <c r="A97" s="154" t="s">
        <v>21</v>
      </c>
      <c r="B97" s="151" t="s">
        <v>22</v>
      </c>
      <c r="C97" s="342" t="s">
        <v>249</v>
      </c>
      <c r="D97" s="343"/>
      <c r="E97" s="343"/>
      <c r="F97" s="344"/>
      <c r="G97" s="155">
        <f>0.248^2*0.7854*8.89*1.015/10*26</f>
        <v>1.1332752646575359</v>
      </c>
      <c r="H97" s="10">
        <f>(J97+1300)/1.13/1000+3.79</f>
        <v>66.887345132743377</v>
      </c>
      <c r="I97" s="156">
        <f>G97*H97</f>
        <v>75.801773757549697</v>
      </c>
      <c r="J97" s="134">
        <v>70000</v>
      </c>
    </row>
    <row r="98" spans="1:11" ht="15.75">
      <c r="A98" s="154">
        <v>2</v>
      </c>
      <c r="B98" s="151" t="s">
        <v>27</v>
      </c>
      <c r="C98" s="342" t="s">
        <v>251</v>
      </c>
      <c r="D98" s="343"/>
      <c r="E98" s="343"/>
      <c r="F98" s="344"/>
      <c r="G98" s="155">
        <f>(3.15^2-1.48^2*0.85)*0.7854*1.48/10</f>
        <v>0.93696466987199989</v>
      </c>
      <c r="H98" s="13">
        <v>8.0500000000000007</v>
      </c>
      <c r="I98" s="156">
        <f>G98*H98</f>
        <v>7.5425655924695993</v>
      </c>
    </row>
    <row r="99" spans="1:11" ht="15.75">
      <c r="A99" s="177" t="s">
        <v>29</v>
      </c>
      <c r="B99" s="97">
        <f>I99/100</f>
        <v>0.83344339350019292</v>
      </c>
      <c r="C99" s="345" t="s">
        <v>30</v>
      </c>
      <c r="D99" s="346"/>
      <c r="E99" s="346"/>
      <c r="F99" s="347"/>
      <c r="G99" s="184">
        <f>SUM(G97:G98)/100</f>
        <v>2.0702399345295358E-2</v>
      </c>
      <c r="H99" s="99" t="s">
        <v>31</v>
      </c>
      <c r="I99" s="100">
        <f>SUM(I97:I98)</f>
        <v>83.344339350019297</v>
      </c>
      <c r="J99" s="66">
        <f>B99/I108</f>
        <v>0.86904224410959285</v>
      </c>
      <c r="K99" s="78">
        <f>G99*G106</f>
        <v>1035.1199672647679</v>
      </c>
    </row>
    <row r="100" spans="1:11" ht="36">
      <c r="A100" s="162" t="s">
        <v>13</v>
      </c>
      <c r="B100" s="163" t="s">
        <v>32</v>
      </c>
      <c r="C100" s="163" t="s">
        <v>33</v>
      </c>
      <c r="D100" s="162" t="s">
        <v>34</v>
      </c>
      <c r="E100" s="162" t="s">
        <v>35</v>
      </c>
      <c r="F100" s="163" t="s">
        <v>36</v>
      </c>
      <c r="G100" s="163" t="s">
        <v>37</v>
      </c>
      <c r="H100" s="164" t="s">
        <v>38</v>
      </c>
      <c r="I100" s="162" t="s">
        <v>39</v>
      </c>
    </row>
    <row r="101" spans="1:11" ht="15.75">
      <c r="A101" s="104" t="s">
        <v>22</v>
      </c>
      <c r="B101" s="165">
        <v>0.218</v>
      </c>
      <c r="C101" s="166">
        <v>0</v>
      </c>
      <c r="D101" s="107">
        <v>10</v>
      </c>
      <c r="E101" s="107">
        <f>B101*D101*G106/1000+C101*D101*G104</f>
        <v>109.00000000000001</v>
      </c>
      <c r="F101" s="167">
        <v>0.5</v>
      </c>
      <c r="G101" s="185">
        <v>0</v>
      </c>
      <c r="H101" s="111">
        <f>F101*I97</f>
        <v>37.900886878774848</v>
      </c>
      <c r="I101" s="112">
        <f>E101+H101*G104</f>
        <v>146.90088687877486</v>
      </c>
    </row>
    <row r="102" spans="1:11" ht="15.75">
      <c r="A102" s="151" t="s">
        <v>27</v>
      </c>
      <c r="B102" s="168">
        <f>1000/60/200</f>
        <v>8.3333333333333343E-2</v>
      </c>
      <c r="C102" s="166">
        <v>0</v>
      </c>
      <c r="D102" s="107">
        <v>140</v>
      </c>
      <c r="E102" s="107">
        <f>B102*D102*G106/1000+C102*D102*G104</f>
        <v>583.33333333333337</v>
      </c>
      <c r="F102" s="167">
        <v>0.5</v>
      </c>
      <c r="G102" s="111">
        <v>2</v>
      </c>
      <c r="H102" s="111">
        <f>F102*I99+G102*H98</f>
        <v>57.77216967500965</v>
      </c>
      <c r="I102" s="112">
        <f>E102+H102*G104</f>
        <v>641.10550300834302</v>
      </c>
    </row>
    <row r="103" spans="1:11" ht="24">
      <c r="A103" s="283" t="s">
        <v>41</v>
      </c>
      <c r="B103" s="284"/>
      <c r="C103" s="114" t="s">
        <v>42</v>
      </c>
      <c r="D103" s="114" t="s">
        <v>43</v>
      </c>
      <c r="E103" s="114" t="s">
        <v>44</v>
      </c>
      <c r="F103" s="36" t="s">
        <v>45</v>
      </c>
      <c r="G103" s="37" t="s">
        <v>46</v>
      </c>
      <c r="H103" s="115" t="s">
        <v>47</v>
      </c>
      <c r="I103" s="116">
        <f>SUM(I101:I102)</f>
        <v>788.00638988711785</v>
      </c>
    </row>
    <row r="104" spans="1:11" ht="15">
      <c r="A104" s="285"/>
      <c r="B104" s="286"/>
      <c r="C104" s="181">
        <f>0.0074/3</f>
        <v>2.4666666666666669E-3</v>
      </c>
      <c r="D104" s="72">
        <v>0.9</v>
      </c>
      <c r="E104" s="117">
        <v>3.7000000000000002E-3</v>
      </c>
      <c r="F104" s="118">
        <v>1.2999999999999999E-2</v>
      </c>
      <c r="G104" s="119">
        <v>1</v>
      </c>
      <c r="H104" s="348" t="s">
        <v>48</v>
      </c>
      <c r="I104" s="272" t="s">
        <v>49</v>
      </c>
    </row>
    <row r="105" spans="1:11" ht="24">
      <c r="A105" s="285"/>
      <c r="B105" s="286"/>
      <c r="C105" s="132" t="s">
        <v>214</v>
      </c>
      <c r="D105" s="44" t="s">
        <v>50</v>
      </c>
      <c r="E105" s="114" t="s">
        <v>51</v>
      </c>
      <c r="F105" s="115" t="s">
        <v>52</v>
      </c>
      <c r="G105" s="120" t="s">
        <v>53</v>
      </c>
      <c r="H105" s="349"/>
      <c r="I105" s="277"/>
    </row>
    <row r="106" spans="1:11" ht="18.75">
      <c r="A106" s="285"/>
      <c r="B106" s="286"/>
      <c r="C106" s="133">
        <f>300/200000*G106</f>
        <v>75</v>
      </c>
      <c r="D106" s="47">
        <v>0.05</v>
      </c>
      <c r="E106" s="76">
        <v>0</v>
      </c>
      <c r="F106" s="49">
        <v>0</v>
      </c>
      <c r="G106" s="50">
        <v>50000</v>
      </c>
      <c r="H106" s="121">
        <f>I103/G106+B99+B99*F104</f>
        <v>0.86003828541343785</v>
      </c>
      <c r="I106" s="179">
        <f>(H106/(1-D106)+C104+E104+E106/G106+C106/G106+C108*D108+D104*G99)*(1+F106)*(1+E108+F108)</f>
        <v>0.95209753466432889</v>
      </c>
    </row>
    <row r="107" spans="1:11">
      <c r="A107" s="285"/>
      <c r="B107" s="286"/>
      <c r="C107" s="36" t="s">
        <v>54</v>
      </c>
      <c r="D107" s="36" t="s">
        <v>55</v>
      </c>
      <c r="E107" s="53" t="s">
        <v>56</v>
      </c>
      <c r="F107" s="53" t="s">
        <v>57</v>
      </c>
      <c r="G107" s="53" t="s">
        <v>58</v>
      </c>
      <c r="H107" s="54" t="s">
        <v>59</v>
      </c>
      <c r="I107" s="180" t="s">
        <v>60</v>
      </c>
    </row>
    <row r="108" spans="1:11" ht="18.75">
      <c r="A108" s="287"/>
      <c r="B108" s="288"/>
      <c r="C108" s="56">
        <v>0</v>
      </c>
      <c r="D108" s="57">
        <v>0</v>
      </c>
      <c r="E108" s="58">
        <f>0.7%</f>
        <v>6.9999999999999993E-3</v>
      </c>
      <c r="F108" s="58">
        <f>0.5%*3</f>
        <v>1.4999999999999999E-2</v>
      </c>
      <c r="G108" s="59">
        <v>0.15</v>
      </c>
      <c r="H108" s="121">
        <f>(H106+C104+E104+E106/G106+C106/G106+C108*D108+D104*G99)*(1+F106)*(1+E108+F108)</f>
        <v>0.9058365279436692</v>
      </c>
      <c r="I108" s="179">
        <f>I106+(I106-H108)*G108</f>
        <v>0.95903668567242784</v>
      </c>
    </row>
    <row r="109" spans="1:11" ht="25.5">
      <c r="A109" s="322" t="s">
        <v>0</v>
      </c>
      <c r="B109" s="322"/>
      <c r="C109" s="322"/>
      <c r="D109" s="322"/>
      <c r="E109" s="322"/>
      <c r="F109" s="322"/>
      <c r="G109" s="322"/>
      <c r="H109" s="322"/>
      <c r="I109" s="322"/>
    </row>
    <row r="110" spans="1:11" ht="25.5">
      <c r="A110" s="147"/>
      <c r="B110" s="182"/>
      <c r="C110" s="182"/>
      <c r="D110" s="182"/>
      <c r="E110" s="182"/>
      <c r="F110" s="182"/>
      <c r="G110" s="182"/>
      <c r="H110" s="175" t="s">
        <v>2</v>
      </c>
      <c r="I110" s="183" t="s">
        <v>106</v>
      </c>
    </row>
    <row r="111" spans="1:11">
      <c r="A111" s="151" t="s">
        <v>5</v>
      </c>
      <c r="B111" s="323"/>
      <c r="C111" s="324"/>
      <c r="D111" s="324"/>
      <c r="E111" s="324"/>
      <c r="F111" s="325"/>
      <c r="G111" s="151" t="s">
        <v>6</v>
      </c>
      <c r="H111" s="311">
        <v>44987</v>
      </c>
      <c r="I111" s="312"/>
    </row>
    <row r="112" spans="1:11" ht="15.75">
      <c r="A112" s="151" t="s">
        <v>8</v>
      </c>
      <c r="B112" s="298" t="s">
        <v>252</v>
      </c>
      <c r="C112" s="298"/>
      <c r="D112" s="298"/>
      <c r="E112" s="298"/>
      <c r="F112" s="298"/>
      <c r="G112" s="151" t="s">
        <v>10</v>
      </c>
      <c r="H112" s="326" t="s">
        <v>263</v>
      </c>
      <c r="I112" s="299"/>
    </row>
    <row r="113" spans="1:11">
      <c r="A113" s="334" t="s">
        <v>12</v>
      </c>
      <c r="B113" s="334" t="s">
        <v>13</v>
      </c>
      <c r="C113" s="300" t="s">
        <v>14</v>
      </c>
      <c r="D113" s="300"/>
      <c r="E113" s="300"/>
      <c r="F113" s="300"/>
      <c r="G113" s="151" t="s">
        <v>15</v>
      </c>
      <c r="H113" s="151" t="s">
        <v>16</v>
      </c>
      <c r="I113" s="151" t="s">
        <v>17</v>
      </c>
    </row>
    <row r="114" spans="1:11" ht="15.75">
      <c r="A114" s="334"/>
      <c r="B114" s="334"/>
      <c r="C114" s="300"/>
      <c r="D114" s="300"/>
      <c r="E114" s="300"/>
      <c r="F114" s="300"/>
      <c r="G114" s="151" t="s">
        <v>18</v>
      </c>
      <c r="H114" s="153" t="s">
        <v>19</v>
      </c>
      <c r="I114" s="153" t="s">
        <v>20</v>
      </c>
    </row>
    <row r="115" spans="1:11" ht="15.75">
      <c r="A115" s="154" t="s">
        <v>21</v>
      </c>
      <c r="B115" s="104" t="s">
        <v>22</v>
      </c>
      <c r="C115" s="281" t="s">
        <v>253</v>
      </c>
      <c r="D115" s="281"/>
      <c r="E115" s="281"/>
      <c r="F115" s="281"/>
      <c r="G115" s="155">
        <f>0.158^2*0.7854*8.89*1.015*41/10</f>
        <v>0.72536522451531593</v>
      </c>
      <c r="H115" s="10">
        <f>(J115+1300)/1.13/1000+4.49</f>
        <v>67.587345132743366</v>
      </c>
      <c r="I115" s="156">
        <f>G115*H115</f>
        <v>49.02550977660654</v>
      </c>
      <c r="J115" s="134">
        <v>70000</v>
      </c>
    </row>
    <row r="116" spans="1:11" ht="15.75">
      <c r="A116" s="154">
        <v>2</v>
      </c>
      <c r="B116" s="151" t="s">
        <v>27</v>
      </c>
      <c r="C116" s="281" t="s">
        <v>254</v>
      </c>
      <c r="D116" s="281"/>
      <c r="E116" s="281"/>
      <c r="F116" s="281"/>
      <c r="G116" s="155">
        <f>(2.85^2-1.16^2*0.85)*0.7854*1.47/10</f>
        <v>0.805722052212</v>
      </c>
      <c r="H116" s="13">
        <v>8.0500000000000007</v>
      </c>
      <c r="I116" s="156">
        <f>G116*H116</f>
        <v>6.4860625203066009</v>
      </c>
    </row>
    <row r="117" spans="1:11" ht="15.75">
      <c r="A117" s="177" t="s">
        <v>29</v>
      </c>
      <c r="B117" s="97">
        <f>I117/100</f>
        <v>0.55511572296913148</v>
      </c>
      <c r="C117" s="331" t="s">
        <v>30</v>
      </c>
      <c r="D117" s="331"/>
      <c r="E117" s="331"/>
      <c r="F117" s="331"/>
      <c r="G117" s="184">
        <f>SUM(G115:G116)/100</f>
        <v>1.531087276727316E-2</v>
      </c>
      <c r="H117" s="186" t="s">
        <v>31</v>
      </c>
      <c r="I117" s="100">
        <f>SUM(I115:I116)</f>
        <v>55.511572296913144</v>
      </c>
      <c r="J117" s="66">
        <f>B117/I126</f>
        <v>0.86117917564197033</v>
      </c>
      <c r="K117" s="78">
        <f>G117*G124</f>
        <v>765.54363836365803</v>
      </c>
    </row>
    <row r="118" spans="1:11" ht="36">
      <c r="A118" s="162" t="s">
        <v>13</v>
      </c>
      <c r="B118" s="163" t="s">
        <v>32</v>
      </c>
      <c r="C118" s="163" t="s">
        <v>33</v>
      </c>
      <c r="D118" s="162" t="s">
        <v>34</v>
      </c>
      <c r="E118" s="162" t="s">
        <v>35</v>
      </c>
      <c r="F118" s="163" t="s">
        <v>36</v>
      </c>
      <c r="G118" s="163" t="s">
        <v>37</v>
      </c>
      <c r="H118" s="164" t="s">
        <v>38</v>
      </c>
      <c r="I118" s="162" t="s">
        <v>39</v>
      </c>
    </row>
    <row r="119" spans="1:11" ht="15.75">
      <c r="A119" s="104" t="s">
        <v>22</v>
      </c>
      <c r="B119" s="187">
        <v>0.27800000000000002</v>
      </c>
      <c r="C119" s="166">
        <v>0</v>
      </c>
      <c r="D119" s="107">
        <v>10</v>
      </c>
      <c r="E119" s="107">
        <f>B119*D119*G124/1000+C119*D119*G122</f>
        <v>139</v>
      </c>
      <c r="F119" s="167">
        <v>0.5</v>
      </c>
      <c r="G119" s="185">
        <v>0</v>
      </c>
      <c r="H119" s="111">
        <f>F119*I115</f>
        <v>24.51275488830327</v>
      </c>
      <c r="I119" s="112">
        <f>E119+H119*G122</f>
        <v>163.51275488830328</v>
      </c>
    </row>
    <row r="120" spans="1:11" ht="15.75">
      <c r="A120" s="151" t="s">
        <v>27</v>
      </c>
      <c r="B120" s="187">
        <f>1000/60/240</f>
        <v>6.9444444444444448E-2</v>
      </c>
      <c r="C120" s="166">
        <v>0</v>
      </c>
      <c r="D120" s="107">
        <v>140</v>
      </c>
      <c r="E120" s="107">
        <f>B120*D120*G124/1000+C120*D120*G122</f>
        <v>486.1111111111112</v>
      </c>
      <c r="F120" s="167">
        <v>0.5</v>
      </c>
      <c r="G120" s="111">
        <v>2</v>
      </c>
      <c r="H120" s="111">
        <f>F120*I117+G120*H116</f>
        <v>43.855786148456573</v>
      </c>
      <c r="I120" s="112">
        <f>E120+H120*G122</f>
        <v>529.96689725956776</v>
      </c>
    </row>
    <row r="121" spans="1:11" ht="24">
      <c r="A121" s="283" t="s">
        <v>41</v>
      </c>
      <c r="B121" s="284"/>
      <c r="C121" s="114" t="s">
        <v>42</v>
      </c>
      <c r="D121" s="114" t="s">
        <v>43</v>
      </c>
      <c r="E121" s="114" t="s">
        <v>44</v>
      </c>
      <c r="F121" s="36" t="s">
        <v>45</v>
      </c>
      <c r="G121" s="37" t="s">
        <v>46</v>
      </c>
      <c r="H121" s="115" t="s">
        <v>47</v>
      </c>
      <c r="I121" s="116">
        <f>SUM(I119:I120)</f>
        <v>693.47965214787109</v>
      </c>
    </row>
    <row r="122" spans="1:11" ht="15">
      <c r="A122" s="285"/>
      <c r="B122" s="286"/>
      <c r="C122" s="181">
        <f>0.0074/3</f>
        <v>2.4666666666666669E-3</v>
      </c>
      <c r="D122" s="72">
        <v>0.9</v>
      </c>
      <c r="E122" s="117">
        <v>1.9E-3</v>
      </c>
      <c r="F122" s="118">
        <v>1.2999999999999999E-2</v>
      </c>
      <c r="G122" s="119">
        <v>1</v>
      </c>
      <c r="H122" s="289" t="s">
        <v>48</v>
      </c>
      <c r="I122" s="272" t="s">
        <v>49</v>
      </c>
    </row>
    <row r="123" spans="1:11" ht="24">
      <c r="A123" s="285"/>
      <c r="B123" s="286"/>
      <c r="C123" s="132" t="s">
        <v>214</v>
      </c>
      <c r="D123" s="44" t="s">
        <v>50</v>
      </c>
      <c r="E123" s="114" t="s">
        <v>51</v>
      </c>
      <c r="F123" s="115" t="s">
        <v>52</v>
      </c>
      <c r="G123" s="120" t="s">
        <v>53</v>
      </c>
      <c r="H123" s="289"/>
      <c r="I123" s="273"/>
    </row>
    <row r="124" spans="1:11" ht="18.75">
      <c r="A124" s="285"/>
      <c r="B124" s="286"/>
      <c r="C124" s="133">
        <f>300/200000*G124</f>
        <v>75</v>
      </c>
      <c r="D124" s="47">
        <v>0.05</v>
      </c>
      <c r="E124" s="76">
        <v>0</v>
      </c>
      <c r="F124" s="49">
        <v>0</v>
      </c>
      <c r="G124" s="50">
        <v>50000</v>
      </c>
      <c r="H124" s="121">
        <f>I121/G124+B117+B117*F122</f>
        <v>0.57620182041068757</v>
      </c>
      <c r="I124" s="179">
        <f>(H124/(1-D124)+C122+E122+E124/G124+C124/G124+C126*D126+D122*G117)*(1+F124)*(1+E126+F126)</f>
        <v>0.63995052722016854</v>
      </c>
    </row>
    <row r="125" spans="1:11">
      <c r="A125" s="285"/>
      <c r="B125" s="286"/>
      <c r="C125" s="36" t="s">
        <v>54</v>
      </c>
      <c r="D125" s="36" t="s">
        <v>55</v>
      </c>
      <c r="E125" s="53" t="s">
        <v>56</v>
      </c>
      <c r="F125" s="53" t="s">
        <v>57</v>
      </c>
      <c r="G125" s="53" t="s">
        <v>58</v>
      </c>
      <c r="H125" s="54" t="s">
        <v>59</v>
      </c>
      <c r="I125" s="180" t="s">
        <v>60</v>
      </c>
    </row>
    <row r="126" spans="1:11" ht="18.75">
      <c r="A126" s="287"/>
      <c r="B126" s="288"/>
      <c r="C126" s="56">
        <v>0</v>
      </c>
      <c r="D126" s="57">
        <v>0</v>
      </c>
      <c r="E126" s="58">
        <f>0.7%</f>
        <v>6.9999999999999993E-3</v>
      </c>
      <c r="F126" s="58">
        <f>0.5%*3</f>
        <v>1.4999999999999999E-2</v>
      </c>
      <c r="G126" s="59">
        <v>0.15</v>
      </c>
      <c r="H126" s="121">
        <f>(H124+C122+E122+E124/G124+C124/G124+C126*D126+D122*G117)*(1+F124)*(1+E126+F126)</f>
        <v>0.60895693456439359</v>
      </c>
      <c r="I126" s="179">
        <f>I124+(I124-H126)*G126</f>
        <v>0.64459956611853475</v>
      </c>
    </row>
    <row r="127" spans="1:11" ht="25.5">
      <c r="A127" s="322" t="s">
        <v>0</v>
      </c>
      <c r="B127" s="322"/>
      <c r="C127" s="322"/>
      <c r="D127" s="322"/>
      <c r="E127" s="322"/>
      <c r="F127" s="322"/>
      <c r="G127" s="322"/>
      <c r="H127" s="322"/>
      <c r="I127" s="322"/>
    </row>
    <row r="128" spans="1:11" ht="25.5">
      <c r="A128" s="147"/>
      <c r="B128" s="182"/>
      <c r="C128" s="182"/>
      <c r="D128" s="182"/>
      <c r="E128" s="182"/>
      <c r="F128" s="182"/>
      <c r="G128" s="182"/>
      <c r="H128" s="175" t="s">
        <v>2</v>
      </c>
      <c r="I128" s="183" t="s">
        <v>108</v>
      </c>
    </row>
    <row r="129" spans="1:11">
      <c r="A129" s="151" t="s">
        <v>5</v>
      </c>
      <c r="B129" s="323"/>
      <c r="C129" s="324"/>
      <c r="D129" s="324"/>
      <c r="E129" s="324"/>
      <c r="F129" s="325"/>
      <c r="G129" s="151" t="s">
        <v>6</v>
      </c>
      <c r="H129" s="311">
        <v>44987</v>
      </c>
      <c r="I129" s="312"/>
    </row>
    <row r="130" spans="1:11" ht="15.75">
      <c r="A130" s="151" t="s">
        <v>8</v>
      </c>
      <c r="B130" s="298" t="s">
        <v>255</v>
      </c>
      <c r="C130" s="298"/>
      <c r="D130" s="298"/>
      <c r="E130" s="298"/>
      <c r="F130" s="298"/>
      <c r="G130" s="151" t="s">
        <v>10</v>
      </c>
      <c r="H130" s="326" t="s">
        <v>256</v>
      </c>
      <c r="I130" s="299"/>
    </row>
    <row r="131" spans="1:11">
      <c r="A131" s="334" t="s">
        <v>12</v>
      </c>
      <c r="B131" s="334" t="s">
        <v>13</v>
      </c>
      <c r="C131" s="300" t="s">
        <v>14</v>
      </c>
      <c r="D131" s="300"/>
      <c r="E131" s="300"/>
      <c r="F131" s="300"/>
      <c r="G131" s="151" t="s">
        <v>15</v>
      </c>
      <c r="H131" s="151" t="s">
        <v>16</v>
      </c>
      <c r="I131" s="151" t="s">
        <v>17</v>
      </c>
    </row>
    <row r="132" spans="1:11" ht="15.75">
      <c r="A132" s="334"/>
      <c r="B132" s="334"/>
      <c r="C132" s="300"/>
      <c r="D132" s="300"/>
      <c r="E132" s="300"/>
      <c r="F132" s="300"/>
      <c r="G132" s="151" t="s">
        <v>18</v>
      </c>
      <c r="H132" s="153" t="s">
        <v>19</v>
      </c>
      <c r="I132" s="153" t="s">
        <v>20</v>
      </c>
    </row>
    <row r="133" spans="1:11" ht="15.75">
      <c r="A133" s="154" t="s">
        <v>21</v>
      </c>
      <c r="B133" s="104" t="s">
        <v>22</v>
      </c>
      <c r="C133" s="281" t="s">
        <v>257</v>
      </c>
      <c r="D133" s="281"/>
      <c r="E133" s="281"/>
      <c r="F133" s="281"/>
      <c r="G133" s="155">
        <f>0.157^2*0.7854*8.89*26*1.015/10</f>
        <v>0.45418350023646603</v>
      </c>
      <c r="H133" s="10">
        <f>(J133+1300)/1.13/1000+4.49</f>
        <v>67.587345132743366</v>
      </c>
      <c r="I133" s="156">
        <f>G133*H133</f>
        <v>30.697056984079456</v>
      </c>
      <c r="J133" s="134">
        <v>70000</v>
      </c>
    </row>
    <row r="134" spans="1:11" ht="15.75">
      <c r="A134" s="154">
        <v>2</v>
      </c>
      <c r="B134" s="151" t="s">
        <v>27</v>
      </c>
      <c r="C134" s="281" t="s">
        <v>258</v>
      </c>
      <c r="D134" s="281"/>
      <c r="E134" s="281"/>
      <c r="F134" s="281"/>
      <c r="G134" s="155">
        <f>(2.6^2-0.93^2*0.85)*0.7854*1.47/10</f>
        <v>0.69559009512300007</v>
      </c>
      <c r="H134" s="13">
        <v>8.0500000000000007</v>
      </c>
      <c r="I134" s="156">
        <f>G134*H134</f>
        <v>5.5995002657401507</v>
      </c>
    </row>
    <row r="135" spans="1:11" ht="15.75">
      <c r="A135" s="177" t="s">
        <v>29</v>
      </c>
      <c r="B135" s="97">
        <f>I135/100</f>
        <v>0.36296557249819605</v>
      </c>
      <c r="C135" s="331" t="s">
        <v>30</v>
      </c>
      <c r="D135" s="331"/>
      <c r="E135" s="331"/>
      <c r="F135" s="331"/>
      <c r="G135" s="184">
        <f>SUM(G133:G134)/100</f>
        <v>1.1497735953594662E-2</v>
      </c>
      <c r="H135" s="186" t="s">
        <v>31</v>
      </c>
      <c r="I135" s="100">
        <f>SUM(I133:I134)</f>
        <v>36.296557249819607</v>
      </c>
      <c r="J135" s="66">
        <f>B135/I144</f>
        <v>0.84630215192345304</v>
      </c>
      <c r="K135" s="78">
        <f>G135*G142</f>
        <v>574.88679767973304</v>
      </c>
    </row>
    <row r="136" spans="1:11" ht="36">
      <c r="A136" s="162" t="s">
        <v>13</v>
      </c>
      <c r="B136" s="163" t="s">
        <v>32</v>
      </c>
      <c r="C136" s="163" t="s">
        <v>33</v>
      </c>
      <c r="D136" s="162" t="s">
        <v>34</v>
      </c>
      <c r="E136" s="162" t="s">
        <v>35</v>
      </c>
      <c r="F136" s="163" t="s">
        <v>36</v>
      </c>
      <c r="G136" s="163" t="s">
        <v>37</v>
      </c>
      <c r="H136" s="164" t="s">
        <v>38</v>
      </c>
      <c r="I136" s="162" t="s">
        <v>39</v>
      </c>
    </row>
    <row r="137" spans="1:11" ht="15.75">
      <c r="A137" s="104" t="s">
        <v>22</v>
      </c>
      <c r="B137" s="165">
        <v>0.27800000000000002</v>
      </c>
      <c r="C137" s="166">
        <v>0</v>
      </c>
      <c r="D137" s="107">
        <v>10</v>
      </c>
      <c r="E137" s="107">
        <f>B137*D137*G142/1000+C137*D137*G140</f>
        <v>139</v>
      </c>
      <c r="F137" s="167">
        <v>0.5</v>
      </c>
      <c r="G137" s="185">
        <v>0</v>
      </c>
      <c r="H137" s="111">
        <f>F137*I133</f>
        <v>15.348528492039728</v>
      </c>
      <c r="I137" s="112">
        <f>E137+H137*G140</f>
        <v>154.34852849203972</v>
      </c>
    </row>
    <row r="138" spans="1:11" ht="15.75">
      <c r="A138" s="151" t="s">
        <v>27</v>
      </c>
      <c r="B138" s="168">
        <f>1000/60/250</f>
        <v>6.6666666666666666E-2</v>
      </c>
      <c r="C138" s="166">
        <v>0</v>
      </c>
      <c r="D138" s="107">
        <v>140</v>
      </c>
      <c r="E138" s="107">
        <f>B138*D138*G142/1000+C138*D138*G140</f>
        <v>466.66666666666669</v>
      </c>
      <c r="F138" s="167">
        <v>0.5</v>
      </c>
      <c r="G138" s="111">
        <v>2</v>
      </c>
      <c r="H138" s="111">
        <f>F138*I135+G138*H134</f>
        <v>34.248278624909801</v>
      </c>
      <c r="I138" s="112">
        <f>E138+H138*G140</f>
        <v>500.91494529157649</v>
      </c>
    </row>
    <row r="139" spans="1:11" ht="24">
      <c r="A139" s="283" t="s">
        <v>41</v>
      </c>
      <c r="B139" s="284"/>
      <c r="C139" s="114" t="s">
        <v>42</v>
      </c>
      <c r="D139" s="114" t="s">
        <v>43</v>
      </c>
      <c r="E139" s="114" t="s">
        <v>44</v>
      </c>
      <c r="F139" s="36" t="s">
        <v>45</v>
      </c>
      <c r="G139" s="37" t="s">
        <v>46</v>
      </c>
      <c r="H139" s="115" t="s">
        <v>47</v>
      </c>
      <c r="I139" s="116">
        <f>SUM(I137:I138)</f>
        <v>655.26347378361618</v>
      </c>
    </row>
    <row r="140" spans="1:11" ht="15">
      <c r="A140" s="285"/>
      <c r="B140" s="286"/>
      <c r="C140" s="181">
        <f>0.0074/3</f>
        <v>2.4666666666666669E-3</v>
      </c>
      <c r="D140" s="72">
        <v>0.9</v>
      </c>
      <c r="E140" s="117">
        <v>1.5E-3</v>
      </c>
      <c r="F140" s="118">
        <v>1.2999999999999999E-2</v>
      </c>
      <c r="G140" s="119">
        <v>1</v>
      </c>
      <c r="H140" s="289" t="s">
        <v>48</v>
      </c>
      <c r="I140" s="272" t="s">
        <v>49</v>
      </c>
    </row>
    <row r="141" spans="1:11" ht="24">
      <c r="A141" s="285"/>
      <c r="B141" s="286"/>
      <c r="C141" s="132" t="s">
        <v>214</v>
      </c>
      <c r="D141" s="44" t="s">
        <v>50</v>
      </c>
      <c r="E141" s="114" t="s">
        <v>51</v>
      </c>
      <c r="F141" s="115" t="s">
        <v>52</v>
      </c>
      <c r="G141" s="120" t="s">
        <v>53</v>
      </c>
      <c r="H141" s="289"/>
      <c r="I141" s="273"/>
    </row>
    <row r="142" spans="1:11" ht="18.75">
      <c r="A142" s="285"/>
      <c r="B142" s="286"/>
      <c r="C142" s="133">
        <f>300/200000*G142</f>
        <v>75</v>
      </c>
      <c r="D142" s="47">
        <v>0.05</v>
      </c>
      <c r="E142" s="76">
        <v>0</v>
      </c>
      <c r="F142" s="49">
        <v>0</v>
      </c>
      <c r="G142" s="50">
        <v>50000</v>
      </c>
      <c r="H142" s="121">
        <f>I139/G142+B135+B135*F140</f>
        <v>0.38078939441634491</v>
      </c>
      <c r="I142" s="179">
        <f>(H142/(1-D142)+C140+E140+E142/G142+C142/G142+C144*D144+D140*G135)*(1+F142)*(1+E144+F144)</f>
        <v>0.42581177306713858</v>
      </c>
    </row>
    <row r="143" spans="1:11">
      <c r="A143" s="285"/>
      <c r="B143" s="286"/>
      <c r="C143" s="36" t="s">
        <v>54</v>
      </c>
      <c r="D143" s="36" t="s">
        <v>55</v>
      </c>
      <c r="E143" s="53" t="s">
        <v>56</v>
      </c>
      <c r="F143" s="53" t="s">
        <v>57</v>
      </c>
      <c r="G143" s="53" t="s">
        <v>58</v>
      </c>
      <c r="H143" s="54" t="s">
        <v>59</v>
      </c>
      <c r="I143" s="180" t="s">
        <v>60</v>
      </c>
    </row>
    <row r="144" spans="1:11" ht="18.75">
      <c r="A144" s="287"/>
      <c r="B144" s="288"/>
      <c r="C144" s="56">
        <v>0</v>
      </c>
      <c r="D144" s="57">
        <v>0</v>
      </c>
      <c r="E144" s="58">
        <f>0.7%</f>
        <v>6.9999999999999993E-3</v>
      </c>
      <c r="F144" s="58">
        <f>0.5%*3</f>
        <v>1.4999999999999999E-2</v>
      </c>
      <c r="G144" s="59">
        <v>0.15</v>
      </c>
      <c r="H144" s="121">
        <f>(H142+C140+E140+E142/G142+C142/G142+C144*D144+D140*G135)*(1+F142)*(1+E144+F144)</f>
        <v>0.40532931195695415</v>
      </c>
      <c r="I144" s="179">
        <f>I142+(I142-H144)*G144</f>
        <v>0.42888414223366622</v>
      </c>
    </row>
    <row r="145" spans="1:11" ht="25.5">
      <c r="A145" s="322" t="s">
        <v>0</v>
      </c>
      <c r="B145" s="322"/>
      <c r="C145" s="322"/>
      <c r="D145" s="322"/>
      <c r="E145" s="322"/>
      <c r="F145" s="322"/>
      <c r="G145" s="322"/>
      <c r="H145" s="322"/>
      <c r="I145" s="322"/>
    </row>
    <row r="146" spans="1:11" ht="25.5">
      <c r="A146" s="147"/>
      <c r="B146" s="182"/>
      <c r="C146" s="182"/>
      <c r="D146" s="182"/>
      <c r="E146" s="182"/>
      <c r="F146" s="182"/>
      <c r="G146" s="182"/>
      <c r="H146" s="175" t="s">
        <v>2</v>
      </c>
      <c r="I146" s="183" t="s">
        <v>112</v>
      </c>
    </row>
    <row r="147" spans="1:11">
      <c r="A147" s="151" t="s">
        <v>5</v>
      </c>
      <c r="B147" s="323"/>
      <c r="C147" s="324"/>
      <c r="D147" s="324"/>
      <c r="E147" s="324"/>
      <c r="F147" s="325"/>
      <c r="G147" s="151" t="s">
        <v>6</v>
      </c>
      <c r="H147" s="311">
        <v>45044</v>
      </c>
      <c r="I147" s="312"/>
    </row>
    <row r="148" spans="1:11" ht="15.75">
      <c r="A148" s="151" t="s">
        <v>8</v>
      </c>
      <c r="B148" s="298" t="s">
        <v>224</v>
      </c>
      <c r="C148" s="298"/>
      <c r="D148" s="298"/>
      <c r="E148" s="298"/>
      <c r="F148" s="298"/>
      <c r="G148" s="151" t="s">
        <v>10</v>
      </c>
      <c r="H148" s="326" t="s">
        <v>259</v>
      </c>
      <c r="I148" s="299"/>
    </row>
    <row r="149" spans="1:11">
      <c r="A149" s="334" t="s">
        <v>12</v>
      </c>
      <c r="B149" s="334" t="s">
        <v>13</v>
      </c>
      <c r="C149" s="300" t="s">
        <v>14</v>
      </c>
      <c r="D149" s="300"/>
      <c r="E149" s="300"/>
      <c r="F149" s="300"/>
      <c r="G149" s="151" t="s">
        <v>15</v>
      </c>
      <c r="H149" s="151" t="s">
        <v>16</v>
      </c>
      <c r="I149" s="151" t="s">
        <v>17</v>
      </c>
    </row>
    <row r="150" spans="1:11" ht="15.75">
      <c r="A150" s="334"/>
      <c r="B150" s="334"/>
      <c r="C150" s="300"/>
      <c r="D150" s="300"/>
      <c r="E150" s="300"/>
      <c r="F150" s="300"/>
      <c r="G150" s="151" t="s">
        <v>18</v>
      </c>
      <c r="H150" s="153" t="s">
        <v>19</v>
      </c>
      <c r="I150" s="153" t="s">
        <v>20</v>
      </c>
    </row>
    <row r="151" spans="1:11" ht="15.75">
      <c r="A151" s="154" t="s">
        <v>21</v>
      </c>
      <c r="B151" s="104" t="s">
        <v>22</v>
      </c>
      <c r="C151" s="281" t="s">
        <v>226</v>
      </c>
      <c r="D151" s="281"/>
      <c r="E151" s="281"/>
      <c r="F151" s="281"/>
      <c r="G151" s="155">
        <f>0.155^2*0.7854*8.89*1.015*17/10</f>
        <v>0.28944830978332503</v>
      </c>
      <c r="H151" s="10">
        <f>(J151+1300)/1.13/1000+4.49</f>
        <v>67.587345132743366</v>
      </c>
      <c r="I151" s="156">
        <f>G151*H151</f>
        <v>19.563042811414807</v>
      </c>
      <c r="J151" s="134">
        <v>70000</v>
      </c>
    </row>
    <row r="152" spans="1:11" ht="15.75">
      <c r="A152" s="154">
        <v>2</v>
      </c>
      <c r="B152" s="151" t="s">
        <v>27</v>
      </c>
      <c r="C152" s="281" t="s">
        <v>260</v>
      </c>
      <c r="D152" s="281"/>
      <c r="E152" s="281"/>
      <c r="F152" s="281"/>
      <c r="G152" s="155">
        <f>(2.45^2-0.72^2*0.85)*0.7854*1.47/10</f>
        <v>0.6421378720680001</v>
      </c>
      <c r="H152" s="13">
        <v>8.0500000000000007</v>
      </c>
      <c r="I152" s="156">
        <f>G152*H152</f>
        <v>5.1692098701474016</v>
      </c>
    </row>
    <row r="153" spans="1:11" ht="15.75">
      <c r="A153" s="177" t="s">
        <v>29</v>
      </c>
      <c r="B153" s="97">
        <f>I153/100</f>
        <v>0.24732252681562208</v>
      </c>
      <c r="C153" s="331" t="s">
        <v>30</v>
      </c>
      <c r="D153" s="331"/>
      <c r="E153" s="331"/>
      <c r="F153" s="331"/>
      <c r="G153" s="184">
        <f>SUM(G151:G152)/100</f>
        <v>9.3158618185132519E-3</v>
      </c>
      <c r="H153" s="99" t="s">
        <v>31</v>
      </c>
      <c r="I153" s="100">
        <f>SUM(I151:I152)</f>
        <v>24.732252681562208</v>
      </c>
      <c r="J153" s="66">
        <f>B153/I162</f>
        <v>0.82510181265654636</v>
      </c>
      <c r="K153" s="78">
        <f>G153*G160</f>
        <v>465.79309092566257</v>
      </c>
    </row>
    <row r="154" spans="1:11" ht="36">
      <c r="A154" s="162" t="s">
        <v>13</v>
      </c>
      <c r="B154" s="163" t="s">
        <v>32</v>
      </c>
      <c r="C154" s="163" t="s">
        <v>33</v>
      </c>
      <c r="D154" s="162" t="s">
        <v>34</v>
      </c>
      <c r="E154" s="162" t="s">
        <v>35</v>
      </c>
      <c r="F154" s="163" t="s">
        <v>36</v>
      </c>
      <c r="G154" s="163" t="s">
        <v>37</v>
      </c>
      <c r="H154" s="164" t="s">
        <v>38</v>
      </c>
      <c r="I154" s="162" t="s">
        <v>39</v>
      </c>
    </row>
    <row r="155" spans="1:11" ht="15.75">
      <c r="A155" s="104" t="s">
        <v>22</v>
      </c>
      <c r="B155" s="165">
        <v>0.28599999999999998</v>
      </c>
      <c r="C155" s="166">
        <v>0</v>
      </c>
      <c r="D155" s="107">
        <v>10</v>
      </c>
      <c r="E155" s="107">
        <f>B155*D155*G160/1000+C155*D155*G158</f>
        <v>143</v>
      </c>
      <c r="F155" s="167">
        <v>0.5</v>
      </c>
      <c r="G155" s="185">
        <v>0</v>
      </c>
      <c r="H155" s="111">
        <f>F155*I151</f>
        <v>9.7815214057074034</v>
      </c>
      <c r="I155" s="112">
        <f>E155+H155*G158</f>
        <v>152.78152140570739</v>
      </c>
    </row>
    <row r="156" spans="1:11" ht="15.75">
      <c r="A156" s="151" t="s">
        <v>27</v>
      </c>
      <c r="B156" s="168">
        <f>1000/60/250</f>
        <v>6.6666666666666666E-2</v>
      </c>
      <c r="C156" s="166">
        <v>0</v>
      </c>
      <c r="D156" s="107">
        <v>140</v>
      </c>
      <c r="E156" s="107">
        <f>B156*D156*G160/1000+C156*D156*G158</f>
        <v>466.66666666666669</v>
      </c>
      <c r="F156" s="167">
        <v>0.5</v>
      </c>
      <c r="G156" s="111">
        <v>2</v>
      </c>
      <c r="H156" s="111">
        <f>F156*I153+G156*H152</f>
        <v>28.466126340781106</v>
      </c>
      <c r="I156" s="112">
        <f>E156+H156*G158</f>
        <v>495.13279300744779</v>
      </c>
    </row>
    <row r="157" spans="1:11" ht="24">
      <c r="A157" s="283" t="s">
        <v>41</v>
      </c>
      <c r="B157" s="284"/>
      <c r="C157" s="114" t="s">
        <v>42</v>
      </c>
      <c r="D157" s="114" t="s">
        <v>43</v>
      </c>
      <c r="E157" s="114" t="s">
        <v>44</v>
      </c>
      <c r="F157" s="36" t="s">
        <v>45</v>
      </c>
      <c r="G157" s="37" t="s">
        <v>46</v>
      </c>
      <c r="H157" s="115" t="s">
        <v>47</v>
      </c>
      <c r="I157" s="116">
        <f>SUM(I155:I156)</f>
        <v>647.91431441315513</v>
      </c>
    </row>
    <row r="158" spans="1:11" ht="15">
      <c r="A158" s="285"/>
      <c r="B158" s="286"/>
      <c r="C158" s="181">
        <f>0.0074/3</f>
        <v>2.4666666666666669E-3</v>
      </c>
      <c r="D158" s="72">
        <v>0.9</v>
      </c>
      <c r="E158" s="117">
        <v>1.5E-3</v>
      </c>
      <c r="F158" s="118">
        <v>1.2999999999999999E-2</v>
      </c>
      <c r="G158" s="119">
        <v>1</v>
      </c>
      <c r="H158" s="289" t="s">
        <v>48</v>
      </c>
      <c r="I158" s="272" t="s">
        <v>49</v>
      </c>
    </row>
    <row r="159" spans="1:11" ht="24">
      <c r="A159" s="285"/>
      <c r="B159" s="286"/>
      <c r="C159" s="132" t="s">
        <v>214</v>
      </c>
      <c r="D159" s="44" t="s">
        <v>50</v>
      </c>
      <c r="E159" s="114" t="s">
        <v>51</v>
      </c>
      <c r="F159" s="115" t="s">
        <v>52</v>
      </c>
      <c r="G159" s="120" t="s">
        <v>53</v>
      </c>
      <c r="H159" s="289"/>
      <c r="I159" s="273"/>
    </row>
    <row r="160" spans="1:11" ht="18.75">
      <c r="A160" s="285"/>
      <c r="B160" s="286"/>
      <c r="C160" s="133">
        <f>300/200000*G160</f>
        <v>75</v>
      </c>
      <c r="D160" s="47">
        <v>0.05</v>
      </c>
      <c r="E160" s="76">
        <v>0</v>
      </c>
      <c r="F160" s="49">
        <v>0</v>
      </c>
      <c r="G160" s="50">
        <v>50000</v>
      </c>
      <c r="H160" s="121">
        <f>I157/G160+B153+B153*F158</f>
        <v>0.26349600595248829</v>
      </c>
      <c r="I160" s="179">
        <f>(H160/(1-D160)+C158+E158+E160/G160+C160/G160+C162*D162+D158*G153)*(1+F160)*(1+E162+F162)</f>
        <v>0.2976218925955208</v>
      </c>
    </row>
    <row r="161" spans="1:11">
      <c r="A161" s="285"/>
      <c r="B161" s="286"/>
      <c r="C161" s="36" t="s">
        <v>54</v>
      </c>
      <c r="D161" s="36" t="s">
        <v>55</v>
      </c>
      <c r="E161" s="53" t="s">
        <v>56</v>
      </c>
      <c r="F161" s="53" t="s">
        <v>57</v>
      </c>
      <c r="G161" s="53" t="s">
        <v>58</v>
      </c>
      <c r="H161" s="54" t="s">
        <v>59</v>
      </c>
      <c r="I161" s="180" t="s">
        <v>60</v>
      </c>
    </row>
    <row r="162" spans="1:11" ht="18.75">
      <c r="A162" s="287"/>
      <c r="B162" s="288"/>
      <c r="C162" s="56">
        <v>0</v>
      </c>
      <c r="D162" s="57">
        <v>0</v>
      </c>
      <c r="E162" s="58">
        <f>0.7%</f>
        <v>6.9999999999999993E-3</v>
      </c>
      <c r="F162" s="58">
        <f>0.5%*3</f>
        <v>1.4999999999999999E-2</v>
      </c>
      <c r="G162" s="59">
        <v>0.15</v>
      </c>
      <c r="H162" s="121">
        <f>(H160+C158+E158+E160/G160+C160/G160+C162*D162+D158*G153)*(1+F160)*(1+E162+F162)</f>
        <v>0.28344858111744481</v>
      </c>
      <c r="I162" s="179">
        <f>I160+(I160-H162)*G162</f>
        <v>0.29974788931723217</v>
      </c>
    </row>
    <row r="163" spans="1:11" ht="25.5">
      <c r="A163" s="322" t="s">
        <v>0</v>
      </c>
      <c r="B163" s="322"/>
      <c r="C163" s="322"/>
      <c r="D163" s="322"/>
      <c r="E163" s="322"/>
      <c r="F163" s="322"/>
      <c r="G163" s="322"/>
      <c r="H163" s="322"/>
      <c r="I163" s="322"/>
    </row>
    <row r="164" spans="1:11" ht="25.5">
      <c r="A164" s="147"/>
      <c r="B164" s="188"/>
      <c r="C164" s="188"/>
      <c r="D164" s="188"/>
      <c r="E164" s="188"/>
      <c r="F164" s="188"/>
      <c r="G164" s="188"/>
      <c r="H164" s="189" t="s">
        <v>2</v>
      </c>
      <c r="I164" s="190" t="s">
        <v>117</v>
      </c>
    </row>
    <row r="165" spans="1:11">
      <c r="A165" s="151" t="s">
        <v>5</v>
      </c>
      <c r="B165" s="323" t="s">
        <v>279</v>
      </c>
      <c r="C165" s="324"/>
      <c r="D165" s="324"/>
      <c r="E165" s="324"/>
      <c r="F165" s="325"/>
      <c r="G165" s="151" t="s">
        <v>6</v>
      </c>
      <c r="H165" s="311">
        <v>45069</v>
      </c>
      <c r="I165" s="312"/>
    </row>
    <row r="166" spans="1:11" ht="15.75">
      <c r="A166" s="151" t="s">
        <v>8</v>
      </c>
      <c r="B166" s="298" t="s">
        <v>229</v>
      </c>
      <c r="C166" s="298"/>
      <c r="D166" s="298"/>
      <c r="E166" s="298"/>
      <c r="F166" s="298"/>
      <c r="G166" s="151" t="s">
        <v>10</v>
      </c>
      <c r="H166" s="326" t="s">
        <v>284</v>
      </c>
      <c r="I166" s="299"/>
    </row>
    <row r="167" spans="1:11">
      <c r="A167" s="334" t="s">
        <v>12</v>
      </c>
      <c r="B167" s="334" t="s">
        <v>13</v>
      </c>
      <c r="C167" s="300" t="s">
        <v>14</v>
      </c>
      <c r="D167" s="300"/>
      <c r="E167" s="300"/>
      <c r="F167" s="300"/>
      <c r="G167" s="151" t="s">
        <v>15</v>
      </c>
      <c r="H167" s="151" t="s">
        <v>16</v>
      </c>
      <c r="I167" s="151" t="s">
        <v>17</v>
      </c>
    </row>
    <row r="168" spans="1:11" ht="15.75">
      <c r="A168" s="334"/>
      <c r="B168" s="334"/>
      <c r="C168" s="300"/>
      <c r="D168" s="300"/>
      <c r="E168" s="300"/>
      <c r="F168" s="300"/>
      <c r="G168" s="151" t="s">
        <v>18</v>
      </c>
      <c r="H168" s="153" t="s">
        <v>19</v>
      </c>
      <c r="I168" s="153" t="s">
        <v>20</v>
      </c>
    </row>
    <row r="169" spans="1:11" ht="15.75">
      <c r="A169" s="154" t="s">
        <v>21</v>
      </c>
      <c r="B169" s="104" t="s">
        <v>22</v>
      </c>
      <c r="C169" s="281" t="s">
        <v>231</v>
      </c>
      <c r="D169" s="281"/>
      <c r="E169" s="281"/>
      <c r="F169" s="281"/>
      <c r="G169" s="155">
        <f>0.155^2*0.7854*8.89*1.015*7/10</f>
        <v>0.119184598146075</v>
      </c>
      <c r="H169" s="10">
        <f>(J169+1300)/1.13/1000+4.49</f>
        <v>67.587345132743366</v>
      </c>
      <c r="I169" s="156">
        <f>G169*H169</f>
        <v>8.0553705694060955</v>
      </c>
      <c r="J169" s="134">
        <v>70000</v>
      </c>
    </row>
    <row r="170" spans="1:11" ht="15.75">
      <c r="A170" s="154">
        <v>2</v>
      </c>
      <c r="B170" s="151" t="s">
        <v>27</v>
      </c>
      <c r="C170" s="281" t="s">
        <v>280</v>
      </c>
      <c r="D170" s="281"/>
      <c r="E170" s="281"/>
      <c r="F170" s="281"/>
      <c r="G170" s="155">
        <f>(1.02^2-0.47^2*0.85)*0.7854*1.42/10</f>
        <v>9.5091653117999997E-2</v>
      </c>
      <c r="H170" s="13">
        <v>13.716799999999999</v>
      </c>
      <c r="I170" s="156">
        <f>G170*H170</f>
        <v>1.3043531874889822</v>
      </c>
    </row>
    <row r="171" spans="1:11" ht="15.75">
      <c r="A171" s="191" t="s">
        <v>29</v>
      </c>
      <c r="B171" s="192">
        <f>I171/100</f>
        <v>9.3597237568950775E-2</v>
      </c>
      <c r="C171" s="360" t="s">
        <v>30</v>
      </c>
      <c r="D171" s="360"/>
      <c r="E171" s="360"/>
      <c r="F171" s="360"/>
      <c r="G171" s="193">
        <f>SUM(G169:G170)/100</f>
        <v>2.14276251264075E-3</v>
      </c>
      <c r="H171" s="194" t="s">
        <v>31</v>
      </c>
      <c r="I171" s="195">
        <f>SUM(I169:I170)</f>
        <v>9.3597237568950771</v>
      </c>
      <c r="J171" s="66">
        <f>B171/I180</f>
        <v>0.74357760528792227</v>
      </c>
      <c r="K171" s="78">
        <f>G171*G178</f>
        <v>107.1381256320375</v>
      </c>
    </row>
    <row r="172" spans="1:11" ht="36">
      <c r="A172" s="162" t="s">
        <v>13</v>
      </c>
      <c r="B172" s="163" t="s">
        <v>32</v>
      </c>
      <c r="C172" s="163" t="s">
        <v>33</v>
      </c>
      <c r="D172" s="162" t="s">
        <v>34</v>
      </c>
      <c r="E172" s="162" t="s">
        <v>35</v>
      </c>
      <c r="F172" s="163" t="s">
        <v>36</v>
      </c>
      <c r="G172" s="163" t="s">
        <v>37</v>
      </c>
      <c r="H172" s="164" t="s">
        <v>38</v>
      </c>
      <c r="I172" s="162" t="s">
        <v>39</v>
      </c>
    </row>
    <row r="173" spans="1:11" ht="15.75">
      <c r="A173" s="104" t="s">
        <v>22</v>
      </c>
      <c r="B173" s="165">
        <v>0.34300000000000003</v>
      </c>
      <c r="C173" s="166">
        <v>0</v>
      </c>
      <c r="D173" s="167">
        <v>7</v>
      </c>
      <c r="E173" s="108">
        <f>B173*D173*G178/1000+C173*D173*G176</f>
        <v>120.05000000000001</v>
      </c>
      <c r="F173" s="167">
        <v>0.5</v>
      </c>
      <c r="G173" s="196">
        <v>0</v>
      </c>
      <c r="H173" s="111">
        <f>F173*I169</f>
        <v>4.0276852847030478</v>
      </c>
      <c r="I173" s="112">
        <f>E173+H173*G176</f>
        <v>124.07768528470307</v>
      </c>
    </row>
    <row r="174" spans="1:11" ht="15.75">
      <c r="A174" s="151" t="s">
        <v>27</v>
      </c>
      <c r="B174" s="204">
        <f>1000/60/200</f>
        <v>8.3333333333333343E-2</v>
      </c>
      <c r="C174" s="166">
        <v>0</v>
      </c>
      <c r="D174" s="167">
        <v>120</v>
      </c>
      <c r="E174" s="108">
        <f>B174*D174*G178/1000+C174*D174*G176</f>
        <v>500.00000000000011</v>
      </c>
      <c r="F174" s="167">
        <v>1.5</v>
      </c>
      <c r="G174" s="111">
        <v>2</v>
      </c>
      <c r="H174" s="111">
        <f>F174*I171+G174*H170</f>
        <v>41.473185635342617</v>
      </c>
      <c r="I174" s="112">
        <f>E174+H174*G176</f>
        <v>541.4731856353427</v>
      </c>
    </row>
    <row r="175" spans="1:11" ht="24">
      <c r="A175" s="283" t="s">
        <v>41</v>
      </c>
      <c r="B175" s="284"/>
      <c r="C175" s="114" t="s">
        <v>42</v>
      </c>
      <c r="D175" s="114" t="s">
        <v>43</v>
      </c>
      <c r="E175" s="114" t="s">
        <v>44</v>
      </c>
      <c r="F175" s="197" t="s">
        <v>45</v>
      </c>
      <c r="G175" s="198" t="s">
        <v>46</v>
      </c>
      <c r="H175" s="115" t="s">
        <v>47</v>
      </c>
      <c r="I175" s="116">
        <f>SUM(I173:I174)</f>
        <v>665.55087092004578</v>
      </c>
    </row>
    <row r="176" spans="1:11" ht="15">
      <c r="A176" s="285"/>
      <c r="B176" s="286"/>
      <c r="C176" s="181">
        <f>0.0074/3</f>
        <v>2.4666666666666669E-3</v>
      </c>
      <c r="D176" s="72">
        <v>0.9</v>
      </c>
      <c r="E176" s="117">
        <v>2.5999999999999999E-3</v>
      </c>
      <c r="F176" s="118">
        <v>1.2999999999999999E-2</v>
      </c>
      <c r="G176" s="199">
        <v>1</v>
      </c>
      <c r="H176" s="289" t="s">
        <v>48</v>
      </c>
      <c r="I176" s="361" t="s">
        <v>49</v>
      </c>
    </row>
    <row r="177" spans="1:11" ht="24">
      <c r="A177" s="285"/>
      <c r="B177" s="286"/>
      <c r="C177" s="132" t="s">
        <v>214</v>
      </c>
      <c r="D177" s="44" t="s">
        <v>50</v>
      </c>
      <c r="E177" s="114" t="s">
        <v>51</v>
      </c>
      <c r="F177" s="115" t="s">
        <v>52</v>
      </c>
      <c r="G177" s="120" t="s">
        <v>53</v>
      </c>
      <c r="H177" s="289"/>
      <c r="I177" s="362"/>
    </row>
    <row r="178" spans="1:11" ht="18.75">
      <c r="A178" s="285"/>
      <c r="B178" s="286"/>
      <c r="C178" s="133">
        <f>300/200000*G178</f>
        <v>75</v>
      </c>
      <c r="D178" s="47">
        <v>0.05</v>
      </c>
      <c r="E178" s="76">
        <v>0</v>
      </c>
      <c r="F178" s="49">
        <v>0</v>
      </c>
      <c r="G178" s="50">
        <v>50000</v>
      </c>
      <c r="H178" s="121">
        <f>I175/G178+B171+B171*F176</f>
        <v>0.10812501907574805</v>
      </c>
      <c r="I178" s="179">
        <f>(H178/(1-D178)+C176+E176+E178/G178+C178/G178+C180*D180+D176*G171)*(1+F178)*(1+E180+F180)</f>
        <v>0.12500180365605451</v>
      </c>
    </row>
    <row r="179" spans="1:11">
      <c r="A179" s="285"/>
      <c r="B179" s="286"/>
      <c r="C179" s="197" t="s">
        <v>54</v>
      </c>
      <c r="D179" s="197" t="s">
        <v>55</v>
      </c>
      <c r="E179" s="53" t="s">
        <v>56</v>
      </c>
      <c r="F179" s="53" t="s">
        <v>57</v>
      </c>
      <c r="G179" s="53" t="s">
        <v>58</v>
      </c>
      <c r="H179" s="200" t="s">
        <v>59</v>
      </c>
      <c r="I179" s="180" t="s">
        <v>60</v>
      </c>
    </row>
    <row r="180" spans="1:11" ht="18.75">
      <c r="A180" s="287"/>
      <c r="B180" s="288"/>
      <c r="C180" s="201">
        <v>0</v>
      </c>
      <c r="D180" s="57">
        <v>0</v>
      </c>
      <c r="E180" s="58">
        <f>0.7%</f>
        <v>6.9999999999999993E-3</v>
      </c>
      <c r="F180" s="58">
        <f>0.5%*3</f>
        <v>1.4999999999999999E-2</v>
      </c>
      <c r="G180" s="59">
        <v>0.15</v>
      </c>
      <c r="H180" s="121">
        <f>(H178+C176+E176+E178/G178+C178/G178+C180*D180+D176*G171)*(1+F178)*(1+E180+F180)</f>
        <v>0.11918581578787479</v>
      </c>
      <c r="I180" s="179">
        <f>I178+(I178-H180)*G180</f>
        <v>0.12587420183628148</v>
      </c>
    </row>
    <row r="181" spans="1:11" ht="25.5">
      <c r="A181" s="322" t="s">
        <v>0</v>
      </c>
      <c r="B181" s="322"/>
      <c r="C181" s="322"/>
      <c r="D181" s="322"/>
      <c r="E181" s="322"/>
      <c r="F181" s="322"/>
      <c r="G181" s="322"/>
      <c r="H181" s="322"/>
      <c r="I181" s="322"/>
    </row>
    <row r="182" spans="1:11" ht="25.5">
      <c r="A182" s="147"/>
      <c r="B182" s="188"/>
      <c r="C182" s="188"/>
      <c r="D182" s="188"/>
      <c r="E182" s="188"/>
      <c r="F182" s="188"/>
      <c r="G182" s="188"/>
      <c r="H182" s="189" t="s">
        <v>2</v>
      </c>
      <c r="I182" s="190" t="s">
        <v>120</v>
      </c>
    </row>
    <row r="183" spans="1:11">
      <c r="A183" s="151" t="s">
        <v>5</v>
      </c>
      <c r="B183" s="323" t="s">
        <v>281</v>
      </c>
      <c r="C183" s="324"/>
      <c r="D183" s="324"/>
      <c r="E183" s="324"/>
      <c r="F183" s="325"/>
      <c r="G183" s="151" t="s">
        <v>6</v>
      </c>
      <c r="H183" s="311">
        <v>45029</v>
      </c>
      <c r="I183" s="312"/>
    </row>
    <row r="184" spans="1:11" ht="15.75">
      <c r="A184" s="151" t="s">
        <v>8</v>
      </c>
      <c r="B184" s="298" t="s">
        <v>274</v>
      </c>
      <c r="C184" s="298"/>
      <c r="D184" s="298"/>
      <c r="E184" s="298"/>
      <c r="F184" s="298"/>
      <c r="G184" s="151" t="s">
        <v>10</v>
      </c>
      <c r="H184" s="326" t="s">
        <v>282</v>
      </c>
      <c r="I184" s="299"/>
    </row>
    <row r="185" spans="1:11">
      <c r="A185" s="334" t="s">
        <v>12</v>
      </c>
      <c r="B185" s="334" t="s">
        <v>13</v>
      </c>
      <c r="C185" s="300" t="s">
        <v>14</v>
      </c>
      <c r="D185" s="300"/>
      <c r="E185" s="300"/>
      <c r="F185" s="300"/>
      <c r="G185" s="151" t="s">
        <v>15</v>
      </c>
      <c r="H185" s="151" t="s">
        <v>16</v>
      </c>
      <c r="I185" s="151" t="s">
        <v>17</v>
      </c>
    </row>
    <row r="186" spans="1:11" ht="15.75">
      <c r="A186" s="334"/>
      <c r="B186" s="334"/>
      <c r="C186" s="300"/>
      <c r="D186" s="300"/>
      <c r="E186" s="300"/>
      <c r="F186" s="300"/>
      <c r="G186" s="151" t="s">
        <v>18</v>
      </c>
      <c r="H186" s="153" t="s">
        <v>19</v>
      </c>
      <c r="I186" s="153" t="s">
        <v>20</v>
      </c>
    </row>
    <row r="187" spans="1:11" ht="15.75">
      <c r="A187" s="154" t="s">
        <v>21</v>
      </c>
      <c r="B187" s="104" t="s">
        <v>22</v>
      </c>
      <c r="C187" s="281" t="s">
        <v>274</v>
      </c>
      <c r="D187" s="281"/>
      <c r="E187" s="281"/>
      <c r="F187" s="281"/>
      <c r="G187" s="155">
        <f>0.125^2*0.7854*8.89*1.015*7/10</f>
        <v>7.7513396296874995E-2</v>
      </c>
      <c r="H187" s="10">
        <f>(J187+1300)/1.13/1000+5.28</f>
        <v>68.377345132743372</v>
      </c>
      <c r="I187" s="156">
        <f>G187*H187</f>
        <v>5.3001602510025334</v>
      </c>
      <c r="J187" s="134">
        <v>70000</v>
      </c>
    </row>
    <row r="188" spans="1:11" ht="15.75">
      <c r="A188" s="154">
        <v>2</v>
      </c>
      <c r="B188" s="151" t="s">
        <v>27</v>
      </c>
      <c r="C188" s="281" t="s">
        <v>283</v>
      </c>
      <c r="D188" s="281"/>
      <c r="E188" s="281"/>
      <c r="F188" s="281"/>
      <c r="G188" s="155">
        <f>(0.95^2-0.36^2*0.85)*0.7854*1.47/10</f>
        <v>9.1478663891999989E-2</v>
      </c>
      <c r="H188" s="13">
        <v>13.716799999999999</v>
      </c>
      <c r="I188" s="156">
        <f>G188*H188</f>
        <v>1.2547945368737854</v>
      </c>
    </row>
    <row r="189" spans="1:11" ht="15.75">
      <c r="A189" s="191" t="s">
        <v>29</v>
      </c>
      <c r="B189" s="192">
        <f>I189/100</f>
        <v>6.5549547878763187E-2</v>
      </c>
      <c r="C189" s="360" t="s">
        <v>30</v>
      </c>
      <c r="D189" s="360"/>
      <c r="E189" s="360"/>
      <c r="F189" s="360"/>
      <c r="G189" s="193">
        <f>SUM(G187:G188)/100</f>
        <v>1.6899206018887497E-3</v>
      </c>
      <c r="H189" s="194" t="s">
        <v>31</v>
      </c>
      <c r="I189" s="195">
        <f>SUM(I187:I188)</f>
        <v>6.5549547878763192</v>
      </c>
      <c r="J189" s="66">
        <f>B189/I198</f>
        <v>0.70111367028669691</v>
      </c>
      <c r="K189" s="78">
        <f>G189*G196</f>
        <v>84.496030094437486</v>
      </c>
    </row>
    <row r="190" spans="1:11" ht="36">
      <c r="A190" s="162" t="s">
        <v>13</v>
      </c>
      <c r="B190" s="163" t="s">
        <v>32</v>
      </c>
      <c r="C190" s="163" t="s">
        <v>33</v>
      </c>
      <c r="D190" s="162" t="s">
        <v>34</v>
      </c>
      <c r="E190" s="162" t="s">
        <v>35</v>
      </c>
      <c r="F190" s="163" t="s">
        <v>36</v>
      </c>
      <c r="G190" s="163" t="s">
        <v>37</v>
      </c>
      <c r="H190" s="164" t="s">
        <v>38</v>
      </c>
      <c r="I190" s="162" t="s">
        <v>39</v>
      </c>
    </row>
    <row r="191" spans="1:11" ht="15.75">
      <c r="A191" s="104" t="s">
        <v>22</v>
      </c>
      <c r="B191" s="165">
        <v>0.42899999999999999</v>
      </c>
      <c r="C191" s="166">
        <v>0</v>
      </c>
      <c r="D191" s="167">
        <v>7</v>
      </c>
      <c r="E191" s="108">
        <f>B191*D191*G196/1000+C191*D191*G194</f>
        <v>150.15</v>
      </c>
      <c r="F191" s="167">
        <v>0.5</v>
      </c>
      <c r="G191" s="196">
        <v>0</v>
      </c>
      <c r="H191" s="111">
        <f>F191*I187</f>
        <v>2.6500801255012667</v>
      </c>
      <c r="I191" s="112">
        <f>E191+H191*G194</f>
        <v>152.80008012550127</v>
      </c>
    </row>
    <row r="192" spans="1:11" ht="15.75">
      <c r="A192" s="151" t="s">
        <v>27</v>
      </c>
      <c r="B192" s="205">
        <f>1000/60/220</f>
        <v>7.575757575757576E-2</v>
      </c>
      <c r="C192" s="166">
        <v>0</v>
      </c>
      <c r="D192" s="167">
        <v>120</v>
      </c>
      <c r="E192" s="108">
        <f>B192*D192*G196/1000+C192*D192*G194</f>
        <v>454.54545454545456</v>
      </c>
      <c r="F192" s="167">
        <v>1.5</v>
      </c>
      <c r="G192" s="111">
        <v>2</v>
      </c>
      <c r="H192" s="111">
        <f>F192*I189+G192*H188</f>
        <v>37.266032181814481</v>
      </c>
      <c r="I192" s="112">
        <f>E192+H192*G194</f>
        <v>491.81148672726903</v>
      </c>
    </row>
    <row r="193" spans="1:11" ht="24">
      <c r="A193" s="283" t="s">
        <v>41</v>
      </c>
      <c r="B193" s="284"/>
      <c r="C193" s="114" t="s">
        <v>42</v>
      </c>
      <c r="D193" s="114" t="s">
        <v>43</v>
      </c>
      <c r="E193" s="114" t="s">
        <v>44</v>
      </c>
      <c r="F193" s="197" t="s">
        <v>45</v>
      </c>
      <c r="G193" s="198" t="s">
        <v>46</v>
      </c>
      <c r="H193" s="115" t="s">
        <v>47</v>
      </c>
      <c r="I193" s="116">
        <f>SUM(I191:I192)</f>
        <v>644.61156685277024</v>
      </c>
    </row>
    <row r="194" spans="1:11" ht="15">
      <c r="A194" s="285"/>
      <c r="B194" s="286"/>
      <c r="C194" s="181">
        <f>0.0074/3</f>
        <v>2.4666666666666669E-3</v>
      </c>
      <c r="D194" s="72">
        <v>0.9</v>
      </c>
      <c r="E194" s="117">
        <v>1.9E-3</v>
      </c>
      <c r="F194" s="118">
        <v>1.2999999999999999E-2</v>
      </c>
      <c r="G194" s="199">
        <v>1</v>
      </c>
      <c r="H194" s="289" t="s">
        <v>48</v>
      </c>
      <c r="I194" s="361" t="s">
        <v>49</v>
      </c>
    </row>
    <row r="195" spans="1:11" ht="24">
      <c r="A195" s="285"/>
      <c r="B195" s="286"/>
      <c r="C195" s="132" t="s">
        <v>214</v>
      </c>
      <c r="D195" s="44" t="s">
        <v>50</v>
      </c>
      <c r="E195" s="114" t="s">
        <v>51</v>
      </c>
      <c r="F195" s="115" t="s">
        <v>52</v>
      </c>
      <c r="G195" s="120" t="s">
        <v>53</v>
      </c>
      <c r="H195" s="289"/>
      <c r="I195" s="362"/>
    </row>
    <row r="196" spans="1:11" ht="18.75">
      <c r="A196" s="285"/>
      <c r="B196" s="286"/>
      <c r="C196" s="133">
        <f>300/200000*G196</f>
        <v>75</v>
      </c>
      <c r="D196" s="47">
        <v>0.05</v>
      </c>
      <c r="E196" s="76">
        <v>0</v>
      </c>
      <c r="F196" s="49">
        <v>0</v>
      </c>
      <c r="G196" s="50">
        <v>50000</v>
      </c>
      <c r="H196" s="121">
        <f>I193/G196+B189+B189*F194</f>
        <v>7.9293923338242506E-2</v>
      </c>
      <c r="I196" s="179">
        <f>(H196/(1-D196)+C194+E194+E196/G196+C196/G196+C198*D198+D194*G189)*(1+F196)*(1+E198+F198)</f>
        <v>9.2853690357354635E-2</v>
      </c>
    </row>
    <row r="197" spans="1:11">
      <c r="A197" s="285"/>
      <c r="B197" s="286"/>
      <c r="C197" s="197" t="s">
        <v>54</v>
      </c>
      <c r="D197" s="197" t="s">
        <v>55</v>
      </c>
      <c r="E197" s="53" t="s">
        <v>56</v>
      </c>
      <c r="F197" s="53" t="s">
        <v>57</v>
      </c>
      <c r="G197" s="53" t="s">
        <v>58</v>
      </c>
      <c r="H197" s="200" t="s">
        <v>59</v>
      </c>
      <c r="I197" s="180" t="s">
        <v>60</v>
      </c>
    </row>
    <row r="198" spans="1:11" ht="18.75">
      <c r="A198" s="287"/>
      <c r="B198" s="288"/>
      <c r="C198" s="201">
        <v>0</v>
      </c>
      <c r="D198" s="57">
        <v>0</v>
      </c>
      <c r="E198" s="58">
        <f>0.7%</f>
        <v>6.9999999999999993E-3</v>
      </c>
      <c r="F198" s="58">
        <f>0.5%*3</f>
        <v>1.4999999999999999E-2</v>
      </c>
      <c r="G198" s="59">
        <v>0.15</v>
      </c>
      <c r="H198" s="121">
        <f>(H196+C194+E194+E196/G196+C196/G196+C198*D198+D194*G189)*(1+F196)*(1+E198+F198)</f>
        <v>8.8588511954634436E-2</v>
      </c>
      <c r="I198" s="179">
        <f>I196+(I196-H198)*G198</f>
        <v>9.3493467117762658E-2</v>
      </c>
    </row>
    <row r="199" spans="1:11" ht="25.5">
      <c r="A199" s="322" t="s">
        <v>0</v>
      </c>
      <c r="B199" s="322"/>
      <c r="C199" s="322"/>
      <c r="D199" s="322"/>
      <c r="E199" s="322"/>
      <c r="F199" s="322"/>
      <c r="G199" s="322"/>
      <c r="H199" s="322"/>
      <c r="I199" s="322"/>
    </row>
    <row r="200" spans="1:11" ht="25.5">
      <c r="A200" s="147"/>
      <c r="B200" s="148"/>
      <c r="C200" s="148"/>
      <c r="D200" s="148"/>
      <c r="E200" s="148"/>
      <c r="F200" s="148"/>
      <c r="G200" s="148"/>
      <c r="H200" s="149" t="s">
        <v>2</v>
      </c>
      <c r="I200" s="150" t="s">
        <v>134</v>
      </c>
    </row>
    <row r="201" spans="1:11">
      <c r="A201" s="151" t="s">
        <v>5</v>
      </c>
      <c r="B201" s="323"/>
      <c r="C201" s="324"/>
      <c r="D201" s="324"/>
      <c r="E201" s="324"/>
      <c r="F201" s="325"/>
      <c r="G201" s="151" t="s">
        <v>6</v>
      </c>
      <c r="H201" s="296">
        <v>45167</v>
      </c>
      <c r="I201" s="297"/>
    </row>
    <row r="202" spans="1:11" ht="15.75">
      <c r="A202" s="151" t="s">
        <v>8</v>
      </c>
      <c r="B202" s="298" t="s">
        <v>220</v>
      </c>
      <c r="C202" s="298"/>
      <c r="D202" s="298"/>
      <c r="E202" s="298"/>
      <c r="F202" s="298"/>
      <c r="G202" s="151" t="s">
        <v>10</v>
      </c>
      <c r="H202" s="326" t="s">
        <v>298</v>
      </c>
      <c r="I202" s="299"/>
    </row>
    <row r="203" spans="1:11">
      <c r="A203" s="334" t="s">
        <v>12</v>
      </c>
      <c r="B203" s="334" t="s">
        <v>13</v>
      </c>
      <c r="C203" s="300" t="s">
        <v>14</v>
      </c>
      <c r="D203" s="300"/>
      <c r="E203" s="300"/>
      <c r="F203" s="300"/>
      <c r="G203" s="151" t="s">
        <v>15</v>
      </c>
      <c r="H203" s="151" t="s">
        <v>16</v>
      </c>
      <c r="I203" s="151" t="s">
        <v>17</v>
      </c>
    </row>
    <row r="204" spans="1:11" ht="15.75">
      <c r="A204" s="334"/>
      <c r="B204" s="334"/>
      <c r="C204" s="300"/>
      <c r="D204" s="300"/>
      <c r="E204" s="300"/>
      <c r="F204" s="300"/>
      <c r="G204" s="151" t="s">
        <v>18</v>
      </c>
      <c r="H204" s="153" t="s">
        <v>19</v>
      </c>
      <c r="I204" s="153" t="s">
        <v>20</v>
      </c>
    </row>
    <row r="205" spans="1:11" ht="15.75">
      <c r="A205" s="154" t="s">
        <v>21</v>
      </c>
      <c r="B205" s="104" t="s">
        <v>22</v>
      </c>
      <c r="C205" s="281" t="s">
        <v>220</v>
      </c>
      <c r="D205" s="281"/>
      <c r="E205" s="281"/>
      <c r="F205" s="281"/>
      <c r="G205" s="155">
        <f>0.252^2*0.7854*8.89/10*1.015*26</f>
        <v>1.1701273479255361</v>
      </c>
      <c r="H205" s="10">
        <f>(J205+1300)/1.13/1000+3.79</f>
        <v>66.887345132743377</v>
      </c>
      <c r="I205" s="156">
        <f>G205*H205</f>
        <v>78.266711769957027</v>
      </c>
      <c r="J205" s="134">
        <v>70000</v>
      </c>
    </row>
    <row r="206" spans="1:11" ht="15.75">
      <c r="A206" s="154">
        <v>2</v>
      </c>
      <c r="B206" s="151" t="s">
        <v>27</v>
      </c>
      <c r="C206" s="281" t="s">
        <v>300</v>
      </c>
      <c r="D206" s="281"/>
      <c r="E206" s="281"/>
      <c r="F206" s="281"/>
      <c r="G206" s="155">
        <f>(2.33^2-1.48^2*0.85)*0.7854*1.47/10</f>
        <v>0.41183063182800012</v>
      </c>
      <c r="H206" s="13">
        <v>8.0500000000000007</v>
      </c>
      <c r="I206" s="156">
        <f>G206*H206</f>
        <v>3.3152365862154012</v>
      </c>
    </row>
    <row r="207" spans="1:11" ht="15.75">
      <c r="A207" s="157" t="s">
        <v>29</v>
      </c>
      <c r="B207" s="158">
        <f>I207/100</f>
        <v>0.81581948356172429</v>
      </c>
      <c r="C207" s="335" t="s">
        <v>30</v>
      </c>
      <c r="D207" s="335"/>
      <c r="E207" s="335"/>
      <c r="F207" s="335"/>
      <c r="G207" s="159">
        <f>SUM(G205:G206)/100</f>
        <v>1.5819579797535361E-2</v>
      </c>
      <c r="H207" s="160" t="s">
        <v>31</v>
      </c>
      <c r="I207" s="161">
        <f>SUM(I205:I206)</f>
        <v>81.581948356172433</v>
      </c>
      <c r="J207" s="66">
        <f>B207/I216</f>
        <v>0.87126089895924475</v>
      </c>
      <c r="K207" s="78">
        <f>G207*G214</f>
        <v>790.97898987676808</v>
      </c>
    </row>
    <row r="208" spans="1:11" ht="36">
      <c r="A208" s="162" t="s">
        <v>13</v>
      </c>
      <c r="B208" s="163" t="s">
        <v>32</v>
      </c>
      <c r="C208" s="163" t="s">
        <v>33</v>
      </c>
      <c r="D208" s="162" t="s">
        <v>34</v>
      </c>
      <c r="E208" s="162" t="s">
        <v>35</v>
      </c>
      <c r="F208" s="163" t="s">
        <v>36</v>
      </c>
      <c r="G208" s="163" t="s">
        <v>37</v>
      </c>
      <c r="H208" s="164" t="s">
        <v>38</v>
      </c>
      <c r="I208" s="162" t="s">
        <v>39</v>
      </c>
    </row>
    <row r="209" spans="1:10" ht="15.75">
      <c r="A209" s="104" t="s">
        <v>22</v>
      </c>
      <c r="B209" s="165">
        <v>0.24</v>
      </c>
      <c r="C209" s="166">
        <v>0</v>
      </c>
      <c r="D209" s="107">
        <v>10</v>
      </c>
      <c r="E209" s="107">
        <f>B209*D209*G214/1000+C209*D209*G212</f>
        <v>120</v>
      </c>
      <c r="F209" s="107">
        <v>0.5</v>
      </c>
      <c r="G209" s="206">
        <v>0</v>
      </c>
      <c r="H209" s="111">
        <f>F209*I205</f>
        <v>39.133355884978513</v>
      </c>
      <c r="I209" s="112">
        <f>E209+H209*G212</f>
        <v>159.13335588497853</v>
      </c>
    </row>
    <row r="210" spans="1:10" ht="15.75">
      <c r="A210" s="151" t="s">
        <v>27</v>
      </c>
      <c r="B210" s="168">
        <f>1000/60/180</f>
        <v>9.2592592592592601E-2</v>
      </c>
      <c r="C210" s="166">
        <v>0</v>
      </c>
      <c r="D210" s="107">
        <v>140</v>
      </c>
      <c r="E210" s="107">
        <f>B210*D210*G214/1000+C210*D210*G212</f>
        <v>648.14814814814815</v>
      </c>
      <c r="F210" s="107">
        <v>1.5</v>
      </c>
      <c r="G210" s="207">
        <v>2</v>
      </c>
      <c r="H210" s="111">
        <f>F210*I207+G210*H206</f>
        <v>138.47292253425866</v>
      </c>
      <c r="I210" s="112">
        <f>E210+H210*G212</f>
        <v>786.62107068240675</v>
      </c>
    </row>
    <row r="211" spans="1:10" ht="24">
      <c r="A211" s="283" t="s">
        <v>41</v>
      </c>
      <c r="B211" s="284"/>
      <c r="C211" s="114" t="s">
        <v>42</v>
      </c>
      <c r="D211" s="114" t="s">
        <v>43</v>
      </c>
      <c r="E211" s="114" t="s">
        <v>44</v>
      </c>
      <c r="F211" s="169" t="s">
        <v>45</v>
      </c>
      <c r="G211" s="170" t="s">
        <v>46</v>
      </c>
      <c r="H211" s="115" t="s">
        <v>47</v>
      </c>
      <c r="I211" s="116">
        <f>SUM(I209:I210)</f>
        <v>945.75442656738528</v>
      </c>
    </row>
    <row r="212" spans="1:10" ht="15">
      <c r="A212" s="285"/>
      <c r="B212" s="286"/>
      <c r="C212" s="181">
        <f>0.0074/3</f>
        <v>2.4666666666666669E-3</v>
      </c>
      <c r="D212" s="72">
        <v>0.9</v>
      </c>
      <c r="E212" s="117">
        <v>1.5E-3</v>
      </c>
      <c r="F212" s="118">
        <v>1.2999999999999999E-2</v>
      </c>
      <c r="G212" s="171">
        <v>1</v>
      </c>
      <c r="H212" s="289" t="s">
        <v>48</v>
      </c>
      <c r="I212" s="332" t="s">
        <v>49</v>
      </c>
    </row>
    <row r="213" spans="1:10" ht="24">
      <c r="A213" s="285"/>
      <c r="B213" s="286"/>
      <c r="C213" s="132" t="s">
        <v>214</v>
      </c>
      <c r="D213" s="44" t="s">
        <v>50</v>
      </c>
      <c r="E213" s="114" t="s">
        <v>51</v>
      </c>
      <c r="F213" s="115" t="s">
        <v>52</v>
      </c>
      <c r="G213" s="120" t="s">
        <v>53</v>
      </c>
      <c r="H213" s="289"/>
      <c r="I213" s="333"/>
    </row>
    <row r="214" spans="1:10" ht="18.75">
      <c r="A214" s="285"/>
      <c r="B214" s="286"/>
      <c r="C214" s="133">
        <f>300/200000*G214</f>
        <v>75</v>
      </c>
      <c r="D214" s="47">
        <v>0.05</v>
      </c>
      <c r="E214" s="76">
        <v>0</v>
      </c>
      <c r="F214" s="49">
        <v>0</v>
      </c>
      <c r="G214" s="50">
        <v>50000</v>
      </c>
      <c r="H214" s="121">
        <f>I211/G214+B207+B207*F212</f>
        <v>0.84534022537937437</v>
      </c>
      <c r="I214" s="179">
        <f>(H214/(1-D214)+C212+E212+E214/G214+C214/G214+C216*D216+D212*G207)*(1+F214)*(1+E216+F216)</f>
        <v>0.92954589897607509</v>
      </c>
    </row>
    <row r="215" spans="1:10">
      <c r="A215" s="285"/>
      <c r="B215" s="286"/>
      <c r="C215" s="169" t="s">
        <v>54</v>
      </c>
      <c r="D215" s="169" t="s">
        <v>55</v>
      </c>
      <c r="E215" s="53" t="s">
        <v>56</v>
      </c>
      <c r="F215" s="53" t="s">
        <v>57</v>
      </c>
      <c r="G215" s="53" t="s">
        <v>58</v>
      </c>
      <c r="H215" s="172" t="s">
        <v>59</v>
      </c>
      <c r="I215" s="180" t="s">
        <v>60</v>
      </c>
    </row>
    <row r="216" spans="1:10" ht="18.75">
      <c r="A216" s="287"/>
      <c r="B216" s="288"/>
      <c r="C216" s="173">
        <v>0</v>
      </c>
      <c r="D216" s="57">
        <v>0</v>
      </c>
      <c r="E216" s="58">
        <f>0.7%</f>
        <v>6.9999999999999993E-3</v>
      </c>
      <c r="F216" s="58">
        <f>0.5%*3</f>
        <v>1.4999999999999999E-2</v>
      </c>
      <c r="G216" s="59">
        <v>0.15</v>
      </c>
      <c r="H216" s="121">
        <f>(H214+C212+E212+E214/G214+C214/G214+C216*D216+D212*G207)*(1+F214)*(1+E216+F216)</f>
        <v>0.88407549316882672</v>
      </c>
      <c r="I216" s="179">
        <f>I214+(I214-H216)*G216</f>
        <v>0.93636645984716238</v>
      </c>
    </row>
    <row r="217" spans="1:10" ht="25.5">
      <c r="A217" s="322" t="s">
        <v>291</v>
      </c>
      <c r="B217" s="322"/>
      <c r="C217" s="322"/>
      <c r="D217" s="322"/>
      <c r="E217" s="322"/>
      <c r="F217" s="322"/>
      <c r="G217" s="322"/>
      <c r="H217" s="322"/>
      <c r="I217" s="322"/>
    </row>
    <row r="218" spans="1:10" ht="25.5">
      <c r="A218" s="147"/>
      <c r="B218" s="148"/>
      <c r="C218" s="148"/>
      <c r="D218" s="148"/>
      <c r="E218" s="148"/>
      <c r="F218" s="148"/>
      <c r="G218" s="148"/>
      <c r="H218" s="149" t="s">
        <v>2</v>
      </c>
      <c r="I218" s="150" t="s">
        <v>139</v>
      </c>
    </row>
    <row r="219" spans="1:10">
      <c r="A219" s="151" t="s">
        <v>5</v>
      </c>
      <c r="B219" s="323"/>
      <c r="C219" s="324"/>
      <c r="D219" s="324"/>
      <c r="E219" s="324"/>
      <c r="F219" s="325"/>
      <c r="G219" s="151" t="s">
        <v>6</v>
      </c>
      <c r="H219" s="296">
        <v>45167</v>
      </c>
      <c r="I219" s="297"/>
    </row>
    <row r="220" spans="1:10" ht="15.75">
      <c r="A220" s="151" t="s">
        <v>8</v>
      </c>
      <c r="B220" s="298" t="s">
        <v>255</v>
      </c>
      <c r="C220" s="298"/>
      <c r="D220" s="298"/>
      <c r="E220" s="298"/>
      <c r="F220" s="298"/>
      <c r="G220" s="151" t="s">
        <v>10</v>
      </c>
      <c r="H220" s="326" t="s">
        <v>292</v>
      </c>
      <c r="I220" s="299"/>
    </row>
    <row r="221" spans="1:10">
      <c r="A221" s="334" t="s">
        <v>12</v>
      </c>
      <c r="B221" s="334" t="s">
        <v>13</v>
      </c>
      <c r="C221" s="300" t="s">
        <v>14</v>
      </c>
      <c r="D221" s="300"/>
      <c r="E221" s="300"/>
      <c r="F221" s="300"/>
      <c r="G221" s="151" t="s">
        <v>15</v>
      </c>
      <c r="H221" s="151" t="s">
        <v>16</v>
      </c>
      <c r="I221" s="151" t="s">
        <v>17</v>
      </c>
    </row>
    <row r="222" spans="1:10" ht="15.75">
      <c r="A222" s="334"/>
      <c r="B222" s="334"/>
      <c r="C222" s="300"/>
      <c r="D222" s="300"/>
      <c r="E222" s="300"/>
      <c r="F222" s="300"/>
      <c r="G222" s="151" t="s">
        <v>18</v>
      </c>
      <c r="H222" s="153" t="s">
        <v>19</v>
      </c>
      <c r="I222" s="153" t="s">
        <v>20</v>
      </c>
    </row>
    <row r="223" spans="1:10" ht="15.75">
      <c r="A223" s="154" t="s">
        <v>21</v>
      </c>
      <c r="B223" s="104" t="s">
        <v>22</v>
      </c>
      <c r="C223" s="281" t="s">
        <v>255</v>
      </c>
      <c r="D223" s="281"/>
      <c r="E223" s="281"/>
      <c r="F223" s="281"/>
      <c r="G223" s="155">
        <f>0.158^2*0.7854*8.89*26*1.015/10</f>
        <v>0.459987703351176</v>
      </c>
      <c r="H223" s="10">
        <f>(J223+1300)/1.13/1000+4.49</f>
        <v>67.587345132743366</v>
      </c>
      <c r="I223" s="156">
        <f>G223*H223</f>
        <v>31.089347663213903</v>
      </c>
      <c r="J223" s="134">
        <v>70000</v>
      </c>
    </row>
    <row r="224" spans="1:10" ht="15.75">
      <c r="A224" s="154">
        <v>2</v>
      </c>
      <c r="B224" s="151" t="s">
        <v>27</v>
      </c>
      <c r="C224" s="281" t="s">
        <v>302</v>
      </c>
      <c r="D224" s="281"/>
      <c r="E224" s="281"/>
      <c r="F224" s="281"/>
      <c r="G224" s="155">
        <f>(1.82^2-0.92^2*0.85)*0.7854*1.47/10</f>
        <v>0.29936708524800004</v>
      </c>
      <c r="H224" s="13">
        <v>8.0500000000000007</v>
      </c>
      <c r="I224" s="156">
        <f>G224*H224</f>
        <v>2.4099050362464007</v>
      </c>
    </row>
    <row r="225" spans="1:11" ht="15.75">
      <c r="A225" s="157" t="s">
        <v>29</v>
      </c>
      <c r="B225" s="158">
        <f>I225/100</f>
        <v>0.33499252699460308</v>
      </c>
      <c r="C225" s="335" t="s">
        <v>30</v>
      </c>
      <c r="D225" s="335"/>
      <c r="E225" s="335"/>
      <c r="F225" s="335"/>
      <c r="G225" s="159">
        <f>SUM(G223:G224)/100</f>
        <v>7.5935478859917608E-3</v>
      </c>
      <c r="H225" s="208" t="s">
        <v>31</v>
      </c>
      <c r="I225" s="161">
        <f>SUM(I223:I224)</f>
        <v>33.499252699460307</v>
      </c>
      <c r="J225" s="66">
        <f>B225/I234</f>
        <v>0.84450934924375798</v>
      </c>
      <c r="K225" s="78">
        <f>G225*G232</f>
        <v>379.67739429958806</v>
      </c>
    </row>
    <row r="226" spans="1:11" ht="36">
      <c r="A226" s="162" t="s">
        <v>13</v>
      </c>
      <c r="B226" s="163" t="s">
        <v>32</v>
      </c>
      <c r="C226" s="163" t="s">
        <v>33</v>
      </c>
      <c r="D226" s="162" t="s">
        <v>34</v>
      </c>
      <c r="E226" s="162" t="s">
        <v>35</v>
      </c>
      <c r="F226" s="163" t="s">
        <v>36</v>
      </c>
      <c r="G226" s="163" t="s">
        <v>37</v>
      </c>
      <c r="H226" s="164" t="s">
        <v>38</v>
      </c>
      <c r="I226" s="162" t="s">
        <v>39</v>
      </c>
    </row>
    <row r="227" spans="1:11" ht="15.75">
      <c r="A227" s="104" t="s">
        <v>22</v>
      </c>
      <c r="B227" s="165">
        <v>0.24</v>
      </c>
      <c r="C227" s="166">
        <v>0</v>
      </c>
      <c r="D227" s="107">
        <v>10</v>
      </c>
      <c r="E227" s="107">
        <f>B227*D227*G232/1000+C227*D227*G230</f>
        <v>120</v>
      </c>
      <c r="F227" s="209">
        <v>0.5</v>
      </c>
      <c r="G227" s="210">
        <v>0</v>
      </c>
      <c r="H227" s="111">
        <f>F227*I223</f>
        <v>15.544673831606952</v>
      </c>
      <c r="I227" s="112">
        <f>E227+H227*G230</f>
        <v>135.54467383160696</v>
      </c>
    </row>
    <row r="228" spans="1:11" ht="15.75">
      <c r="A228" s="151" t="s">
        <v>27</v>
      </c>
      <c r="B228" s="168">
        <f>1000/60/200</f>
        <v>8.3333333333333343E-2</v>
      </c>
      <c r="C228" s="166">
        <v>0</v>
      </c>
      <c r="D228" s="107">
        <v>140</v>
      </c>
      <c r="E228" s="107">
        <f>B228*D228*G232/1000+C228*D228*G230</f>
        <v>583.33333333333337</v>
      </c>
      <c r="F228" s="209">
        <v>0.5</v>
      </c>
      <c r="G228" s="211">
        <v>2</v>
      </c>
      <c r="H228" s="111">
        <f>F228*I225+G228*H224</f>
        <v>32.849626349730158</v>
      </c>
      <c r="I228" s="112">
        <f>E228+H228*G230</f>
        <v>616.18295968306347</v>
      </c>
    </row>
    <row r="229" spans="1:11" ht="24">
      <c r="A229" s="283" t="s">
        <v>41</v>
      </c>
      <c r="B229" s="284"/>
      <c r="C229" s="114" t="s">
        <v>42</v>
      </c>
      <c r="D229" s="114" t="s">
        <v>43</v>
      </c>
      <c r="E229" s="114" t="s">
        <v>44</v>
      </c>
      <c r="F229" s="169" t="s">
        <v>45</v>
      </c>
      <c r="G229" s="170" t="s">
        <v>46</v>
      </c>
      <c r="H229" s="115" t="s">
        <v>47</v>
      </c>
      <c r="I229" s="116">
        <f>SUM(I227:I228)</f>
        <v>751.7276335146704</v>
      </c>
    </row>
    <row r="230" spans="1:11" ht="15">
      <c r="A230" s="285"/>
      <c r="B230" s="286"/>
      <c r="C230" s="181">
        <f>0.0074/3</f>
        <v>2.4666666666666669E-3</v>
      </c>
      <c r="D230" s="72">
        <v>0.9</v>
      </c>
      <c r="E230" s="117">
        <v>1.5E-3</v>
      </c>
      <c r="F230" s="118">
        <v>1.2999999999999999E-2</v>
      </c>
      <c r="G230" s="171">
        <v>1</v>
      </c>
      <c r="H230" s="289" t="s">
        <v>48</v>
      </c>
      <c r="I230" s="332" t="s">
        <v>49</v>
      </c>
    </row>
    <row r="231" spans="1:11" ht="24">
      <c r="A231" s="285"/>
      <c r="B231" s="286"/>
      <c r="C231" s="132" t="s">
        <v>214</v>
      </c>
      <c r="D231" s="44" t="s">
        <v>50</v>
      </c>
      <c r="E231" s="114" t="s">
        <v>51</v>
      </c>
      <c r="F231" s="115" t="s">
        <v>52</v>
      </c>
      <c r="G231" s="120" t="s">
        <v>53</v>
      </c>
      <c r="H231" s="289"/>
      <c r="I231" s="333"/>
    </row>
    <row r="232" spans="1:11" ht="18.75">
      <c r="A232" s="285"/>
      <c r="B232" s="286"/>
      <c r="C232" s="133">
        <f>300/200000*G232</f>
        <v>75</v>
      </c>
      <c r="D232" s="47">
        <v>0.05</v>
      </c>
      <c r="E232" s="76">
        <v>0</v>
      </c>
      <c r="F232" s="49">
        <v>0</v>
      </c>
      <c r="G232" s="50">
        <v>50000</v>
      </c>
      <c r="H232" s="121">
        <f>I229/G232+B225+B225*F230</f>
        <v>0.35438198251582631</v>
      </c>
      <c r="I232" s="179">
        <f>(H232/(1-D232)+C230+E230+E232/G232+C232/G232+C234*D234+D230*G225)*(1+F232)*(1+E234+F234)</f>
        <v>0.39381188513273635</v>
      </c>
    </row>
    <row r="233" spans="1:11">
      <c r="A233" s="285"/>
      <c r="B233" s="286"/>
      <c r="C233" s="169" t="s">
        <v>54</v>
      </c>
      <c r="D233" s="169" t="s">
        <v>55</v>
      </c>
      <c r="E233" s="53" t="s">
        <v>56</v>
      </c>
      <c r="F233" s="53" t="s">
        <v>57</v>
      </c>
      <c r="G233" s="53" t="s">
        <v>58</v>
      </c>
      <c r="H233" s="172" t="s">
        <v>59</v>
      </c>
      <c r="I233" s="180" t="s">
        <v>60</v>
      </c>
    </row>
    <row r="234" spans="1:11" ht="18.75">
      <c r="A234" s="287"/>
      <c r="B234" s="288"/>
      <c r="C234" s="173">
        <v>0</v>
      </c>
      <c r="D234" s="57">
        <v>0</v>
      </c>
      <c r="E234" s="58">
        <f>0.7%</f>
        <v>6.9999999999999993E-3</v>
      </c>
      <c r="F234" s="58">
        <f>0.5%*3</f>
        <v>1.4999999999999999E-2</v>
      </c>
      <c r="G234" s="59">
        <v>0.15</v>
      </c>
      <c r="H234" s="121">
        <f>(H232+C230+E230+E232/G232+C232/G232+C234*D234+D230*G225)*(1+F232)*(1+E234+F234)</f>
        <v>0.37474986481004297</v>
      </c>
      <c r="I234" s="179">
        <f>I232+(I232-H234)*G234</f>
        <v>0.39667118818114033</v>
      </c>
    </row>
    <row r="235" spans="1:11" ht="25.5">
      <c r="A235" s="322" t="s">
        <v>0</v>
      </c>
      <c r="B235" s="322"/>
      <c r="C235" s="322"/>
      <c r="D235" s="322"/>
      <c r="E235" s="322"/>
      <c r="F235" s="322"/>
      <c r="G235" s="322"/>
      <c r="H235" s="322"/>
      <c r="I235" s="322"/>
    </row>
    <row r="236" spans="1:11" ht="25.5">
      <c r="A236" s="147"/>
      <c r="B236" s="174"/>
      <c r="C236" s="174"/>
      <c r="D236" s="174"/>
      <c r="E236" s="174"/>
      <c r="F236" s="174"/>
      <c r="G236" s="174"/>
      <c r="H236" s="175" t="s">
        <v>2</v>
      </c>
      <c r="I236" s="176" t="s">
        <v>144</v>
      </c>
    </row>
    <row r="237" spans="1:11">
      <c r="A237" s="151" t="s">
        <v>5</v>
      </c>
      <c r="B237" s="323" t="s">
        <v>293</v>
      </c>
      <c r="C237" s="324"/>
      <c r="D237" s="324"/>
      <c r="E237" s="324"/>
      <c r="F237" s="325"/>
      <c r="G237" s="151" t="s">
        <v>6</v>
      </c>
      <c r="H237" s="296">
        <v>45120</v>
      </c>
      <c r="I237" s="297"/>
    </row>
    <row r="238" spans="1:11" ht="15.75">
      <c r="A238" s="151" t="s">
        <v>8</v>
      </c>
      <c r="B238" s="298" t="s">
        <v>224</v>
      </c>
      <c r="C238" s="298"/>
      <c r="D238" s="298"/>
      <c r="E238" s="298"/>
      <c r="F238" s="298"/>
      <c r="G238" s="151" t="s">
        <v>10</v>
      </c>
      <c r="H238" s="326" t="s">
        <v>303</v>
      </c>
      <c r="I238" s="299"/>
    </row>
    <row r="239" spans="1:11">
      <c r="A239" s="334" t="s">
        <v>12</v>
      </c>
      <c r="B239" s="334" t="s">
        <v>13</v>
      </c>
      <c r="C239" s="336" t="s">
        <v>14</v>
      </c>
      <c r="D239" s="337"/>
      <c r="E239" s="337"/>
      <c r="F239" s="338"/>
      <c r="G239" s="151" t="s">
        <v>15</v>
      </c>
      <c r="H239" s="151" t="s">
        <v>16</v>
      </c>
      <c r="I239" s="151" t="s">
        <v>17</v>
      </c>
    </row>
    <row r="240" spans="1:11" ht="15.75">
      <c r="A240" s="334"/>
      <c r="B240" s="334"/>
      <c r="C240" s="339"/>
      <c r="D240" s="340"/>
      <c r="E240" s="340"/>
      <c r="F240" s="341"/>
      <c r="G240" s="151" t="s">
        <v>18</v>
      </c>
      <c r="H240" s="153" t="s">
        <v>19</v>
      </c>
      <c r="I240" s="153" t="s">
        <v>20</v>
      </c>
    </row>
    <row r="241" spans="1:11" ht="15.75">
      <c r="A241" s="154" t="s">
        <v>21</v>
      </c>
      <c r="B241" s="151" t="s">
        <v>22</v>
      </c>
      <c r="C241" s="281" t="s">
        <v>226</v>
      </c>
      <c r="D241" s="281"/>
      <c r="E241" s="281"/>
      <c r="F241" s="281"/>
      <c r="G241" s="155">
        <f>0.155^2*0.7854*8.89/10*17*1.015</f>
        <v>0.28944830978332503</v>
      </c>
      <c r="H241" s="10">
        <f>(J241+1300)/1.13/1000+4.49</f>
        <v>67.587345132743366</v>
      </c>
      <c r="I241" s="156">
        <f>G241*H241</f>
        <v>19.563042811414807</v>
      </c>
      <c r="J241" s="134">
        <v>70000</v>
      </c>
    </row>
    <row r="242" spans="1:11" ht="15.75">
      <c r="A242" s="154">
        <v>2</v>
      </c>
      <c r="B242" s="151" t="s">
        <v>27</v>
      </c>
      <c r="C242" s="281" t="s">
        <v>294</v>
      </c>
      <c r="D242" s="281"/>
      <c r="E242" s="281"/>
      <c r="F242" s="281"/>
      <c r="G242" s="155">
        <f>(1.63^2-0.72^2*0.85)*0.7854*1.47/10</f>
        <v>0.25587563878799996</v>
      </c>
      <c r="H242" s="13">
        <v>8.0500000000000007</v>
      </c>
      <c r="I242" s="156">
        <f>G242*H242</f>
        <v>2.0597988922433998</v>
      </c>
    </row>
    <row r="243" spans="1:11" ht="15.75">
      <c r="A243" s="177" t="s">
        <v>29</v>
      </c>
      <c r="B243" s="97">
        <f>I243/100</f>
        <v>0.21622841703658208</v>
      </c>
      <c r="C243" s="331"/>
      <c r="D243" s="331"/>
      <c r="E243" s="331"/>
      <c r="F243" s="331"/>
      <c r="G243" s="97">
        <f>SUM(G241:G242)/100</f>
        <v>5.4532394857132504E-3</v>
      </c>
      <c r="H243" s="99" t="s">
        <v>31</v>
      </c>
      <c r="I243" s="100">
        <f>SUM(I241:I242)</f>
        <v>21.622841703658207</v>
      </c>
      <c r="J243" s="66">
        <f>B243/I252</f>
        <v>0.81578987798493907</v>
      </c>
      <c r="K243" s="78">
        <f>G243*G250</f>
        <v>272.6619742856625</v>
      </c>
    </row>
    <row r="244" spans="1:11" ht="36">
      <c r="A244" s="162" t="s">
        <v>13</v>
      </c>
      <c r="B244" s="163" t="s">
        <v>32</v>
      </c>
      <c r="C244" s="163" t="s">
        <v>33</v>
      </c>
      <c r="D244" s="162" t="s">
        <v>34</v>
      </c>
      <c r="E244" s="162" t="s">
        <v>35</v>
      </c>
      <c r="F244" s="163" t="s">
        <v>36</v>
      </c>
      <c r="G244" s="163" t="s">
        <v>37</v>
      </c>
      <c r="H244" s="164" t="s">
        <v>38</v>
      </c>
      <c r="I244" s="162" t="s">
        <v>39</v>
      </c>
    </row>
    <row r="245" spans="1:11" ht="15.75">
      <c r="A245" s="104" t="s">
        <v>22</v>
      </c>
      <c r="B245" s="165">
        <v>0.30499999999999999</v>
      </c>
      <c r="C245" s="166">
        <v>0</v>
      </c>
      <c r="D245" s="107">
        <v>10</v>
      </c>
      <c r="E245" s="107">
        <f>B245*D245*G250/1000+C245*D245*G248</f>
        <v>152.5</v>
      </c>
      <c r="F245" s="167">
        <v>0.5</v>
      </c>
      <c r="G245" s="178">
        <v>0</v>
      </c>
      <c r="H245" s="111">
        <f>F245*I241</f>
        <v>9.7815214057074034</v>
      </c>
      <c r="I245" s="112">
        <f>E245+H245*G248</f>
        <v>162.28152140570739</v>
      </c>
    </row>
    <row r="246" spans="1:11" ht="15.75">
      <c r="A246" s="151" t="s">
        <v>27</v>
      </c>
      <c r="B246" s="168">
        <f>1000/60/200</f>
        <v>8.3333333333333343E-2</v>
      </c>
      <c r="C246" s="166">
        <v>0</v>
      </c>
      <c r="D246" s="107">
        <v>120</v>
      </c>
      <c r="E246" s="107">
        <f>B246*D246*G250/1000+C246*D246*G248</f>
        <v>500.00000000000011</v>
      </c>
      <c r="F246" s="167">
        <v>1.5</v>
      </c>
      <c r="G246" s="111">
        <v>2</v>
      </c>
      <c r="H246" s="111">
        <f>F246*I243+G246*H242</f>
        <v>48.534262555487309</v>
      </c>
      <c r="I246" s="112">
        <f>E246+H246*G248</f>
        <v>548.53426255548743</v>
      </c>
    </row>
    <row r="247" spans="1:11" ht="24">
      <c r="A247" s="283" t="s">
        <v>41</v>
      </c>
      <c r="B247" s="284"/>
      <c r="C247" s="114" t="s">
        <v>42</v>
      </c>
      <c r="D247" s="114" t="s">
        <v>43</v>
      </c>
      <c r="E247" s="114" t="s">
        <v>44</v>
      </c>
      <c r="F247" s="36" t="s">
        <v>45</v>
      </c>
      <c r="G247" s="37" t="s">
        <v>46</v>
      </c>
      <c r="H247" s="115" t="s">
        <v>47</v>
      </c>
      <c r="I247" s="116">
        <f>SUM(I245:I246)</f>
        <v>710.81578396119482</v>
      </c>
    </row>
    <row r="248" spans="1:11" ht="15">
      <c r="A248" s="285"/>
      <c r="B248" s="286"/>
      <c r="C248" s="181">
        <f>0.0074/3</f>
        <v>2.4666666666666669E-3</v>
      </c>
      <c r="D248" s="72">
        <v>0.9</v>
      </c>
      <c r="E248" s="117">
        <v>3.0999999999999999E-3</v>
      </c>
      <c r="F248" s="118">
        <v>1.2999999999999999E-2</v>
      </c>
      <c r="G248" s="119">
        <v>1</v>
      </c>
      <c r="H248" s="289" t="s">
        <v>48</v>
      </c>
      <c r="I248" s="272" t="s">
        <v>49</v>
      </c>
    </row>
    <row r="249" spans="1:11" ht="24">
      <c r="A249" s="285"/>
      <c r="B249" s="286"/>
      <c r="C249" s="132" t="s">
        <v>214</v>
      </c>
      <c r="D249" s="44" t="s">
        <v>50</v>
      </c>
      <c r="E249" s="114" t="s">
        <v>51</v>
      </c>
      <c r="F249" s="115" t="s">
        <v>52</v>
      </c>
      <c r="G249" s="120" t="s">
        <v>53</v>
      </c>
      <c r="H249" s="289"/>
      <c r="I249" s="273"/>
    </row>
    <row r="250" spans="1:11" ht="18.75">
      <c r="A250" s="285"/>
      <c r="B250" s="286"/>
      <c r="C250" s="133">
        <f>300/200000*G250</f>
        <v>75</v>
      </c>
      <c r="D250" s="47">
        <v>0.05</v>
      </c>
      <c r="E250" s="76">
        <v>0</v>
      </c>
      <c r="F250" s="49">
        <v>0</v>
      </c>
      <c r="G250" s="50">
        <v>50000</v>
      </c>
      <c r="H250" s="121">
        <f>I247/G250+B243+B243*F248</f>
        <v>0.23325570213728156</v>
      </c>
      <c r="I250" s="179">
        <f>(H250/(1-D250)+C248+E248+E250/G250+C250/G250+C252*D252+D248*G243)*(1+F250)*(1+E252+F252)</f>
        <v>0.26317205204839944</v>
      </c>
    </row>
    <row r="251" spans="1:11">
      <c r="A251" s="285"/>
      <c r="B251" s="286"/>
      <c r="C251" s="36" t="s">
        <v>54</v>
      </c>
      <c r="D251" s="36" t="s">
        <v>55</v>
      </c>
      <c r="E251" s="53" t="s">
        <v>56</v>
      </c>
      <c r="F251" s="53" t="s">
        <v>57</v>
      </c>
      <c r="G251" s="53" t="s">
        <v>58</v>
      </c>
      <c r="H251" s="54" t="s">
        <v>59</v>
      </c>
      <c r="I251" s="180" t="s">
        <v>60</v>
      </c>
    </row>
    <row r="252" spans="1:11" ht="18.75">
      <c r="A252" s="287"/>
      <c r="B252" s="288"/>
      <c r="C252" s="56">
        <v>0</v>
      </c>
      <c r="D252" s="57">
        <v>0</v>
      </c>
      <c r="E252" s="58">
        <f>0.7%</f>
        <v>6.9999999999999993E-3</v>
      </c>
      <c r="F252" s="58">
        <f>0.5%*3</f>
        <v>1.4999999999999999E-2</v>
      </c>
      <c r="G252" s="59">
        <v>0.15</v>
      </c>
      <c r="H252" s="121">
        <f>(H250+C248+E248+E250/G250+C250/G250+C252*D252+D248*G243)*(1+F250)*(1+E252+F252)</f>
        <v>0.25062535059659408</v>
      </c>
      <c r="I252" s="179">
        <f>I250+(I250-H252)*G252</f>
        <v>0.26505405726617026</v>
      </c>
    </row>
    <row r="253" spans="1:11" ht="25.5">
      <c r="A253" s="292" t="s">
        <v>0</v>
      </c>
      <c r="B253" s="292"/>
      <c r="C253" s="292"/>
      <c r="D253" s="292"/>
      <c r="E253" s="292"/>
      <c r="F253" s="292"/>
      <c r="G253" s="292"/>
      <c r="H253" s="292"/>
      <c r="I253" s="292"/>
    </row>
    <row r="254" spans="1:11" ht="25.5">
      <c r="A254" s="147"/>
      <c r="B254" s="188"/>
      <c r="C254" s="188"/>
      <c r="D254" s="188"/>
      <c r="E254" s="188"/>
      <c r="F254" s="188"/>
      <c r="G254" s="188"/>
      <c r="H254" s="212" t="s">
        <v>2</v>
      </c>
      <c r="I254" s="213" t="s">
        <v>152</v>
      </c>
    </row>
    <row r="255" spans="1:11">
      <c r="A255" s="104" t="s">
        <v>5</v>
      </c>
      <c r="B255" s="363" t="s">
        <v>295</v>
      </c>
      <c r="C255" s="364"/>
      <c r="D255" s="364"/>
      <c r="E255" s="364"/>
      <c r="F255" s="365"/>
      <c r="G255" s="104" t="s">
        <v>6</v>
      </c>
      <c r="H255" s="311">
        <v>45029</v>
      </c>
      <c r="I255" s="312"/>
    </row>
    <row r="256" spans="1:11" ht="15.75">
      <c r="A256" s="104" t="s">
        <v>8</v>
      </c>
      <c r="B256" s="298" t="s">
        <v>229</v>
      </c>
      <c r="C256" s="298"/>
      <c r="D256" s="298"/>
      <c r="E256" s="298"/>
      <c r="F256" s="298"/>
      <c r="G256" s="104" t="s">
        <v>10</v>
      </c>
      <c r="H256" s="326" t="s">
        <v>296</v>
      </c>
      <c r="I256" s="299"/>
    </row>
    <row r="257" spans="1:11">
      <c r="A257" s="300" t="s">
        <v>12</v>
      </c>
      <c r="B257" s="300" t="s">
        <v>13</v>
      </c>
      <c r="C257" s="300" t="s">
        <v>14</v>
      </c>
      <c r="D257" s="300"/>
      <c r="E257" s="300"/>
      <c r="F257" s="300"/>
      <c r="G257" s="104" t="s">
        <v>15</v>
      </c>
      <c r="H257" s="104" t="s">
        <v>16</v>
      </c>
      <c r="I257" s="104" t="s">
        <v>17</v>
      </c>
    </row>
    <row r="258" spans="1:11" ht="15.75">
      <c r="A258" s="300"/>
      <c r="B258" s="300"/>
      <c r="C258" s="300"/>
      <c r="D258" s="300"/>
      <c r="E258" s="300"/>
      <c r="F258" s="300"/>
      <c r="G258" s="104" t="s">
        <v>18</v>
      </c>
      <c r="H258" s="153" t="s">
        <v>19</v>
      </c>
      <c r="I258" s="153" t="s">
        <v>20</v>
      </c>
    </row>
    <row r="259" spans="1:11" ht="15.75">
      <c r="A259" s="214" t="s">
        <v>21</v>
      </c>
      <c r="B259" s="104" t="s">
        <v>22</v>
      </c>
      <c r="C259" s="281" t="s">
        <v>229</v>
      </c>
      <c r="D259" s="281"/>
      <c r="E259" s="281"/>
      <c r="F259" s="281"/>
      <c r="G259" s="215">
        <f>0.158^2*0.7854*8.89*1.015*7/10</f>
        <v>0.12384284320993197</v>
      </c>
      <c r="H259" s="10">
        <f>(J259+1300)/1.13/1000+4.49</f>
        <v>67.587345132743366</v>
      </c>
      <c r="I259" s="216">
        <f>G259*H259</f>
        <v>8.3702089862498958</v>
      </c>
      <c r="J259" s="134">
        <v>70000</v>
      </c>
    </row>
    <row r="260" spans="1:11" ht="15.75">
      <c r="A260" s="214">
        <v>2</v>
      </c>
      <c r="B260" s="104" t="s">
        <v>27</v>
      </c>
      <c r="C260" s="281" t="s">
        <v>297</v>
      </c>
      <c r="D260" s="281"/>
      <c r="E260" s="281"/>
      <c r="F260" s="281"/>
      <c r="G260" s="215">
        <f>(1.33^2-0.46^2*0.85)*0.7854*1.47/10</f>
        <v>0.18346070635200001</v>
      </c>
      <c r="H260" s="13">
        <v>8.0500000000000007</v>
      </c>
      <c r="I260" s="216">
        <f>G260*H260</f>
        <v>1.4768586861336002</v>
      </c>
    </row>
    <row r="261" spans="1:11" ht="15.75">
      <c r="A261" s="191" t="s">
        <v>29</v>
      </c>
      <c r="B261" s="192">
        <f>I261/100</f>
        <v>9.8470676723834957E-2</v>
      </c>
      <c r="C261" s="360" t="s">
        <v>30</v>
      </c>
      <c r="D261" s="360"/>
      <c r="E261" s="360"/>
      <c r="F261" s="360"/>
      <c r="G261" s="193">
        <f>SUM(G259:G260)/100</f>
        <v>3.0730354956193195E-3</v>
      </c>
      <c r="H261" s="194" t="s">
        <v>31</v>
      </c>
      <c r="I261" s="195">
        <f>SUM(I259:I260)</f>
        <v>9.8470676723834956</v>
      </c>
      <c r="J261" s="66">
        <f>B261/I270</f>
        <v>0.75357991640527966</v>
      </c>
      <c r="K261" s="78">
        <f>G261*G268</f>
        <v>153.65177478096598</v>
      </c>
    </row>
    <row r="262" spans="1:11" ht="36">
      <c r="A262" s="162" t="s">
        <v>13</v>
      </c>
      <c r="B262" s="163" t="s">
        <v>32</v>
      </c>
      <c r="C262" s="163" t="s">
        <v>33</v>
      </c>
      <c r="D262" s="162" t="s">
        <v>34</v>
      </c>
      <c r="E262" s="162" t="s">
        <v>35</v>
      </c>
      <c r="F262" s="163" t="s">
        <v>36</v>
      </c>
      <c r="G262" s="163" t="s">
        <v>37</v>
      </c>
      <c r="H262" s="164" t="s">
        <v>38</v>
      </c>
      <c r="I262" s="162" t="s">
        <v>39</v>
      </c>
    </row>
    <row r="263" spans="1:11" ht="15.75">
      <c r="A263" s="104" t="s">
        <v>22</v>
      </c>
      <c r="B263" s="217">
        <v>0.34300000000000003</v>
      </c>
      <c r="C263" s="218">
        <v>0</v>
      </c>
      <c r="D263" s="107">
        <v>10</v>
      </c>
      <c r="E263" s="107">
        <f>B263*D263*G268/1000+C263*D263*G266</f>
        <v>171.5</v>
      </c>
      <c r="F263" s="209">
        <v>0.5</v>
      </c>
      <c r="G263" s="219">
        <v>0</v>
      </c>
      <c r="H263" s="111">
        <f>F263*I259</f>
        <v>4.1851044931249479</v>
      </c>
      <c r="I263" s="167">
        <f>E263+H263*G266</f>
        <v>175.68510449312495</v>
      </c>
    </row>
    <row r="264" spans="1:11" ht="15.75">
      <c r="A264" s="104" t="s">
        <v>27</v>
      </c>
      <c r="B264" s="220">
        <f>1000/60/270</f>
        <v>6.1728395061728399E-2</v>
      </c>
      <c r="C264" s="218">
        <v>0</v>
      </c>
      <c r="D264" s="107">
        <v>120</v>
      </c>
      <c r="E264" s="107">
        <f>B264*D264*G268/1000+C264*D264*G266</f>
        <v>370.37037037037038</v>
      </c>
      <c r="F264" s="209">
        <v>1.5</v>
      </c>
      <c r="G264" s="211">
        <v>2</v>
      </c>
      <c r="H264" s="111">
        <f>F264*I261+G264*H260</f>
        <v>30.870601508575245</v>
      </c>
      <c r="I264" s="167">
        <f>E264+H264*G266</f>
        <v>401.24097187894563</v>
      </c>
    </row>
    <row r="265" spans="1:11" ht="24">
      <c r="A265" s="283" t="s">
        <v>41</v>
      </c>
      <c r="B265" s="284"/>
      <c r="C265" s="114" t="s">
        <v>42</v>
      </c>
      <c r="D265" s="114" t="s">
        <v>43</v>
      </c>
      <c r="E265" s="114" t="s">
        <v>44</v>
      </c>
      <c r="F265" s="197" t="s">
        <v>45</v>
      </c>
      <c r="G265" s="198" t="s">
        <v>46</v>
      </c>
      <c r="H265" s="115" t="s">
        <v>47</v>
      </c>
      <c r="I265" s="116">
        <f>SUM(I263:I264)</f>
        <v>576.92607637207061</v>
      </c>
    </row>
    <row r="266" spans="1:11" ht="15">
      <c r="A266" s="285"/>
      <c r="B266" s="286"/>
      <c r="C266" s="181">
        <f>0.0074/3</f>
        <v>2.4666666666666669E-3</v>
      </c>
      <c r="D266" s="72">
        <v>0.9</v>
      </c>
      <c r="E266" s="117">
        <v>3.0999999999999999E-3</v>
      </c>
      <c r="F266" s="221">
        <v>1.2999999999999999E-2</v>
      </c>
      <c r="G266" s="222">
        <v>1</v>
      </c>
      <c r="H266" s="289" t="s">
        <v>48</v>
      </c>
      <c r="I266" s="361" t="s">
        <v>49</v>
      </c>
    </row>
    <row r="267" spans="1:11" ht="24">
      <c r="A267" s="285"/>
      <c r="B267" s="286"/>
      <c r="C267" s="132" t="s">
        <v>214</v>
      </c>
      <c r="D267" s="44" t="s">
        <v>50</v>
      </c>
      <c r="E267" s="114" t="s">
        <v>51</v>
      </c>
      <c r="F267" s="115" t="s">
        <v>52</v>
      </c>
      <c r="G267" s="120" t="s">
        <v>53</v>
      </c>
      <c r="H267" s="289"/>
      <c r="I267" s="362"/>
    </row>
    <row r="268" spans="1:11" ht="18.75">
      <c r="A268" s="285"/>
      <c r="B268" s="286"/>
      <c r="C268" s="133">
        <f>300/200000*G268</f>
        <v>75</v>
      </c>
      <c r="D268" s="47">
        <v>0.05</v>
      </c>
      <c r="E268" s="76">
        <v>0</v>
      </c>
      <c r="F268" s="49">
        <v>0</v>
      </c>
      <c r="G268" s="50">
        <v>50000</v>
      </c>
      <c r="H268" s="121">
        <f>I265/G268+B261+B261*F266</f>
        <v>0.11128931704868622</v>
      </c>
      <c r="I268" s="179">
        <f>(H268/(1-D268)+C266+E266+E268/G268+C268/G268+C270*D270+D266*G261)*(1+F268)*(1+E270+F270)</f>
        <v>0.12977258719668536</v>
      </c>
    </row>
    <row r="269" spans="1:11">
      <c r="A269" s="285"/>
      <c r="B269" s="286"/>
      <c r="C269" s="197" t="s">
        <v>54</v>
      </c>
      <c r="D269" s="197" t="s">
        <v>55</v>
      </c>
      <c r="E269" s="53" t="s">
        <v>56</v>
      </c>
      <c r="F269" s="53" t="s">
        <v>57</v>
      </c>
      <c r="G269" s="53" t="s">
        <v>58</v>
      </c>
      <c r="H269" s="200" t="s">
        <v>59</v>
      </c>
      <c r="I269" s="180" t="s">
        <v>60</v>
      </c>
    </row>
    <row r="270" spans="1:11" ht="18.75">
      <c r="A270" s="287"/>
      <c r="B270" s="288"/>
      <c r="C270" s="201">
        <v>0</v>
      </c>
      <c r="D270" s="223">
        <v>0</v>
      </c>
      <c r="E270" s="58">
        <f>0.7%</f>
        <v>6.9999999999999993E-3</v>
      </c>
      <c r="F270" s="58">
        <f>0.5%*3</f>
        <v>1.4999999999999999E-2</v>
      </c>
      <c r="G270" s="59">
        <v>0.15</v>
      </c>
      <c r="H270" s="121">
        <f>(H268+C266+E266+E268/G268+C268/G268+C270*D270+D266*G261)*(1+F268)*(1+E270+F270)</f>
        <v>0.1237863934059613</v>
      </c>
      <c r="I270" s="179">
        <f>I268+(I268-H270)*G270</f>
        <v>0.13067051626529397</v>
      </c>
    </row>
    <row r="271" spans="1:11" ht="25.5">
      <c r="A271" s="322" t="s">
        <v>0</v>
      </c>
      <c r="B271" s="322"/>
      <c r="C271" s="322"/>
      <c r="D271" s="322"/>
      <c r="E271" s="322"/>
      <c r="F271" s="322"/>
      <c r="G271" s="322"/>
      <c r="H271" s="322"/>
      <c r="I271" s="322"/>
    </row>
    <row r="272" spans="1:11" ht="25.5">
      <c r="A272" s="147"/>
      <c r="B272" s="182"/>
      <c r="C272" s="182"/>
      <c r="D272" s="182"/>
      <c r="E272" s="182"/>
      <c r="F272" s="182"/>
      <c r="G272" s="182"/>
      <c r="H272" s="175" t="s">
        <v>2</v>
      </c>
      <c r="I272" s="176" t="s">
        <v>310</v>
      </c>
    </row>
    <row r="273" spans="1:11">
      <c r="A273" s="151" t="s">
        <v>5</v>
      </c>
      <c r="B273" s="323"/>
      <c r="C273" s="324"/>
      <c r="D273" s="324"/>
      <c r="E273" s="324"/>
      <c r="F273" s="325"/>
      <c r="G273" s="151" t="s">
        <v>6</v>
      </c>
      <c r="H273" s="296">
        <v>45071</v>
      </c>
      <c r="I273" s="297"/>
    </row>
    <row r="274" spans="1:11" ht="15.75">
      <c r="A274" s="151" t="s">
        <v>8</v>
      </c>
      <c r="B274" s="298" t="s">
        <v>220</v>
      </c>
      <c r="C274" s="298"/>
      <c r="D274" s="298"/>
      <c r="E274" s="298"/>
      <c r="F274" s="298"/>
      <c r="G274" s="151" t="s">
        <v>10</v>
      </c>
      <c r="H274" s="299" t="s">
        <v>315</v>
      </c>
      <c r="I274" s="299"/>
    </row>
    <row r="275" spans="1:11">
      <c r="A275" s="334" t="s">
        <v>12</v>
      </c>
      <c r="B275" s="334" t="s">
        <v>13</v>
      </c>
      <c r="C275" s="300" t="s">
        <v>14</v>
      </c>
      <c r="D275" s="300"/>
      <c r="E275" s="300"/>
      <c r="F275" s="300"/>
      <c r="G275" s="151" t="s">
        <v>15</v>
      </c>
      <c r="H275" s="151" t="s">
        <v>16</v>
      </c>
      <c r="I275" s="151" t="s">
        <v>17</v>
      </c>
    </row>
    <row r="276" spans="1:11" ht="15.75">
      <c r="A276" s="334"/>
      <c r="B276" s="334"/>
      <c r="C276" s="300"/>
      <c r="D276" s="300"/>
      <c r="E276" s="300"/>
      <c r="F276" s="300"/>
      <c r="G276" s="151" t="s">
        <v>18</v>
      </c>
      <c r="H276" s="153" t="s">
        <v>19</v>
      </c>
      <c r="I276" s="153" t="s">
        <v>20</v>
      </c>
    </row>
    <row r="277" spans="1:11" ht="15.75">
      <c r="A277" s="154" t="s">
        <v>21</v>
      </c>
      <c r="B277" s="104" t="s">
        <v>22</v>
      </c>
      <c r="C277" s="281" t="s">
        <v>220</v>
      </c>
      <c r="D277" s="281"/>
      <c r="E277" s="281"/>
      <c r="F277" s="281"/>
      <c r="G277" s="155">
        <f>0.253^2*0.7854*8.89*1.015/10*26</f>
        <v>1.1794324989507059</v>
      </c>
      <c r="H277" s="10">
        <f>(J277+1300)/1.13/1000+3.79</f>
        <v>66.887345132743377</v>
      </c>
      <c r="I277" s="156">
        <f>G277*H277</f>
        <v>78.88910861808985</v>
      </c>
      <c r="J277" s="134">
        <v>70000</v>
      </c>
    </row>
    <row r="278" spans="1:11" ht="17.25">
      <c r="A278" s="154">
        <v>2</v>
      </c>
      <c r="B278" s="151" t="s">
        <v>27</v>
      </c>
      <c r="C278" s="281" t="s">
        <v>317</v>
      </c>
      <c r="D278" s="281"/>
      <c r="E278" s="281"/>
      <c r="F278" s="281"/>
      <c r="G278" s="155">
        <f>(3.15^2-1.47^2*0.85)*0.7854*1.45/10</f>
        <v>0.92082775900499991</v>
      </c>
      <c r="H278" s="13">
        <v>59.911499999999997</v>
      </c>
      <c r="I278" s="156">
        <f>G278*H278</f>
        <v>55.168172283628046</v>
      </c>
    </row>
    <row r="279" spans="1:11" ht="15.75">
      <c r="A279" s="177" t="s">
        <v>29</v>
      </c>
      <c r="B279" s="97">
        <f>I279/100</f>
        <v>1.3405728090171789</v>
      </c>
      <c r="C279" s="331" t="s">
        <v>30</v>
      </c>
      <c r="D279" s="331"/>
      <c r="E279" s="331"/>
      <c r="F279" s="331"/>
      <c r="G279" s="184">
        <f>SUM(G277:G278)/100</f>
        <v>2.1002602579557057E-2</v>
      </c>
      <c r="H279" s="186" t="s">
        <v>31</v>
      </c>
      <c r="I279" s="100">
        <f>SUM(I277:I278)</f>
        <v>134.05728090171789</v>
      </c>
      <c r="J279" s="66">
        <f>B279/I289</f>
        <v>0.83767409028875239</v>
      </c>
      <c r="K279" s="78">
        <f>G279*G287</f>
        <v>1050.1301289778528</v>
      </c>
    </row>
    <row r="280" spans="1:11" ht="36">
      <c r="A280" s="162" t="s">
        <v>13</v>
      </c>
      <c r="B280" s="163" t="s">
        <v>32</v>
      </c>
      <c r="C280" s="163" t="s">
        <v>33</v>
      </c>
      <c r="D280" s="162" t="s">
        <v>34</v>
      </c>
      <c r="E280" s="162" t="s">
        <v>35</v>
      </c>
      <c r="F280" s="163" t="s">
        <v>36</v>
      </c>
      <c r="G280" s="163" t="s">
        <v>37</v>
      </c>
      <c r="H280" s="164" t="s">
        <v>38</v>
      </c>
      <c r="I280" s="162" t="s">
        <v>39</v>
      </c>
    </row>
    <row r="281" spans="1:11" ht="15.75">
      <c r="A281" s="104" t="s">
        <v>22</v>
      </c>
      <c r="B281" s="204">
        <v>0.24</v>
      </c>
      <c r="C281" s="166">
        <v>0</v>
      </c>
      <c r="D281" s="107">
        <v>30</v>
      </c>
      <c r="E281" s="107">
        <f>B281*D281*G287/1000+C281*D281*G285</f>
        <v>359.99999999999994</v>
      </c>
      <c r="F281" s="209">
        <v>0.5</v>
      </c>
      <c r="G281" s="224">
        <v>0</v>
      </c>
      <c r="H281" s="111">
        <f>F281*I277</f>
        <v>39.444554309044925</v>
      </c>
      <c r="I281" s="112">
        <f>E281+H281*G285</f>
        <v>399.44455430904486</v>
      </c>
    </row>
    <row r="282" spans="1:11" ht="15.75">
      <c r="A282" s="151" t="s">
        <v>27</v>
      </c>
      <c r="B282" s="204">
        <f>1000/60/100</f>
        <v>0.16666666666666669</v>
      </c>
      <c r="C282" s="166">
        <v>0</v>
      </c>
      <c r="D282" s="107">
        <v>120</v>
      </c>
      <c r="E282" s="107">
        <f>B282*D282*G287/1000+C282*D282*G285</f>
        <v>1000.0000000000002</v>
      </c>
      <c r="F282" s="209">
        <v>0.5</v>
      </c>
      <c r="G282" s="211">
        <v>2</v>
      </c>
      <c r="H282" s="111">
        <f>F282*I279+G282*H278</f>
        <v>186.85164045085895</v>
      </c>
      <c r="I282" s="112">
        <f>E282+H282*G285</f>
        <v>1186.8516404508591</v>
      </c>
    </row>
    <row r="283" spans="1:11" ht="15.75">
      <c r="A283" s="151" t="s">
        <v>275</v>
      </c>
      <c r="B283" s="204">
        <f>1000/60/110</f>
        <v>0.15151515151515152</v>
      </c>
      <c r="C283" s="166">
        <v>0</v>
      </c>
      <c r="D283" s="107">
        <v>50</v>
      </c>
      <c r="E283" s="107">
        <f>B283*D283*G287/1000+C283*D283*G285</f>
        <v>378.78787878787881</v>
      </c>
      <c r="F283" s="209">
        <v>0</v>
      </c>
      <c r="G283" s="211">
        <v>0</v>
      </c>
      <c r="H283" s="111">
        <f>F283*I279+G283*H278</f>
        <v>0</v>
      </c>
      <c r="I283" s="112">
        <f>E283+H283*G285</f>
        <v>378.78787878787881</v>
      </c>
    </row>
    <row r="284" spans="1:11" ht="24">
      <c r="A284" s="283" t="s">
        <v>41</v>
      </c>
      <c r="B284" s="284"/>
      <c r="C284" s="114" t="s">
        <v>42</v>
      </c>
      <c r="D284" s="114" t="s">
        <v>43</v>
      </c>
      <c r="E284" s="114" t="s">
        <v>44</v>
      </c>
      <c r="F284" s="36" t="s">
        <v>45</v>
      </c>
      <c r="G284" s="37" t="s">
        <v>46</v>
      </c>
      <c r="H284" s="115" t="s">
        <v>47</v>
      </c>
      <c r="I284" s="116">
        <f>SUM(I281:I283)</f>
        <v>1965.0840735477827</v>
      </c>
    </row>
    <row r="285" spans="1:11" ht="15">
      <c r="A285" s="285"/>
      <c r="B285" s="286"/>
      <c r="C285" s="181">
        <f>0.0074/3</f>
        <v>2.4666666666666669E-3</v>
      </c>
      <c r="D285" s="72">
        <v>0.9</v>
      </c>
      <c r="E285" s="117">
        <v>3.7000000000000002E-3</v>
      </c>
      <c r="F285" s="225">
        <v>0.03</v>
      </c>
      <c r="G285" s="119">
        <v>1</v>
      </c>
      <c r="H285" s="289" t="s">
        <v>48</v>
      </c>
      <c r="I285" s="272" t="s">
        <v>49</v>
      </c>
    </row>
    <row r="286" spans="1:11" ht="24">
      <c r="A286" s="285"/>
      <c r="B286" s="286"/>
      <c r="C286" s="132" t="s">
        <v>214</v>
      </c>
      <c r="D286" s="44" t="s">
        <v>50</v>
      </c>
      <c r="E286" s="114" t="s">
        <v>51</v>
      </c>
      <c r="F286" s="115" t="s">
        <v>52</v>
      </c>
      <c r="G286" s="120" t="s">
        <v>53</v>
      </c>
      <c r="H286" s="289"/>
      <c r="I286" s="273"/>
    </row>
    <row r="287" spans="1:11" ht="18.75">
      <c r="A287" s="285"/>
      <c r="B287" s="286"/>
      <c r="C287" s="133">
        <f>300/200000*G287</f>
        <v>75</v>
      </c>
      <c r="D287" s="47">
        <v>0.06</v>
      </c>
      <c r="E287" s="76">
        <v>0</v>
      </c>
      <c r="F287" s="49">
        <v>0</v>
      </c>
      <c r="G287" s="50">
        <v>50000</v>
      </c>
      <c r="H287" s="121">
        <f>I284/G287+B279+B279*F285</f>
        <v>1.4200916747586501</v>
      </c>
      <c r="I287" s="179">
        <f>(H287/(1-D287)+C285+E285+E287/G287+C287/G287+C289*D289+D285*G279)*(1+F287)*(1+E289+F289)</f>
        <v>1.5864555395299886</v>
      </c>
    </row>
    <row r="288" spans="1:11">
      <c r="A288" s="285"/>
      <c r="B288" s="286"/>
      <c r="C288" s="36" t="s">
        <v>54</v>
      </c>
      <c r="D288" s="36" t="s">
        <v>55</v>
      </c>
      <c r="E288" s="53" t="s">
        <v>56</v>
      </c>
      <c r="F288" s="53" t="s">
        <v>57</v>
      </c>
      <c r="G288" s="53" t="s">
        <v>58</v>
      </c>
      <c r="H288" s="54" t="s">
        <v>59</v>
      </c>
      <c r="I288" s="180" t="s">
        <v>60</v>
      </c>
    </row>
    <row r="289" spans="1:19" ht="18.75">
      <c r="A289" s="287"/>
      <c r="B289" s="288"/>
      <c r="C289" s="56">
        <v>1</v>
      </c>
      <c r="D289" s="223">
        <v>1.4999999999999999E-2</v>
      </c>
      <c r="E289" s="58">
        <f>0.7%</f>
        <v>6.9999999999999993E-3</v>
      </c>
      <c r="F289" s="58">
        <f>0.5%*3</f>
        <v>1.4999999999999999E-2</v>
      </c>
      <c r="G289" s="59">
        <v>0.15</v>
      </c>
      <c r="H289" s="121">
        <f>(H287+C285+E285+E287/G287+C287/G287+C289*D289+D285*G279)*(1+F287)*(1+E289+F289)</f>
        <v>1.4938172187893499</v>
      </c>
      <c r="I289" s="179">
        <f>I287+(I287-H289)*G289</f>
        <v>1.6003512876410844</v>
      </c>
    </row>
    <row r="290" spans="1:19" s="228" customFormat="1" ht="25.5">
      <c r="A290" s="292" t="s">
        <v>0</v>
      </c>
      <c r="B290" s="292"/>
      <c r="C290" s="292"/>
      <c r="D290" s="292"/>
      <c r="E290" s="292"/>
      <c r="F290" s="292"/>
      <c r="G290" s="292"/>
      <c r="H290" s="292"/>
      <c r="I290" s="292"/>
      <c r="J290" s="242"/>
      <c r="K290" s="242"/>
      <c r="L290" s="243"/>
      <c r="M290" s="243"/>
      <c r="N290" s="243"/>
      <c r="O290" s="243"/>
      <c r="P290" s="243"/>
      <c r="Q290" s="243"/>
      <c r="R290" s="243"/>
      <c r="S290" s="243"/>
    </row>
    <row r="291" spans="1:19" s="228" customFormat="1" ht="25.5">
      <c r="A291" s="147"/>
      <c r="B291" s="229"/>
      <c r="C291" s="229"/>
      <c r="D291" s="229"/>
      <c r="E291" s="229"/>
      <c r="F291" s="229"/>
      <c r="G291" s="229"/>
      <c r="H291" s="230" t="s">
        <v>2</v>
      </c>
      <c r="I291" s="213" t="s">
        <v>337</v>
      </c>
      <c r="J291" s="242"/>
      <c r="K291" s="242"/>
      <c r="L291" s="243"/>
      <c r="M291" s="243"/>
      <c r="N291" s="243"/>
      <c r="O291" s="243"/>
      <c r="P291" s="243"/>
      <c r="Q291" s="243"/>
      <c r="R291" s="243"/>
      <c r="S291" s="243"/>
    </row>
    <row r="292" spans="1:19" s="228" customFormat="1" ht="15">
      <c r="A292" s="152" t="s">
        <v>5</v>
      </c>
      <c r="B292" s="293" t="s">
        <v>341</v>
      </c>
      <c r="C292" s="301"/>
      <c r="D292" s="301"/>
      <c r="E292" s="301"/>
      <c r="F292" s="302"/>
      <c r="G292" s="152" t="s">
        <v>6</v>
      </c>
      <c r="H292" s="296">
        <v>45167</v>
      </c>
      <c r="I292" s="297"/>
      <c r="J292" s="242"/>
      <c r="K292" s="242"/>
      <c r="L292" s="243"/>
      <c r="M292" s="243"/>
      <c r="N292" s="243"/>
      <c r="O292" s="243"/>
      <c r="P292" s="243"/>
      <c r="Q292" s="243"/>
      <c r="R292" s="243"/>
      <c r="S292" s="243"/>
    </row>
    <row r="293" spans="1:19" s="228" customFormat="1" ht="16.5" customHeight="1">
      <c r="A293" s="152" t="s">
        <v>8</v>
      </c>
      <c r="B293" s="303" t="s">
        <v>220</v>
      </c>
      <c r="C293" s="304"/>
      <c r="D293" s="304"/>
      <c r="E293" s="304"/>
      <c r="F293" s="305"/>
      <c r="G293" s="152" t="s">
        <v>10</v>
      </c>
      <c r="H293" s="299" t="s">
        <v>347</v>
      </c>
      <c r="I293" s="299"/>
      <c r="J293" s="242" t="s">
        <v>355</v>
      </c>
      <c r="K293" s="242"/>
      <c r="L293" s="243"/>
      <c r="M293" s="243"/>
      <c r="N293" s="243"/>
      <c r="O293" s="243"/>
      <c r="P293" s="243"/>
      <c r="Q293" s="243"/>
      <c r="R293" s="243"/>
      <c r="S293" s="243"/>
    </row>
    <row r="294" spans="1:19" s="228" customFormat="1" ht="15">
      <c r="A294" s="300" t="s">
        <v>12</v>
      </c>
      <c r="B294" s="300" t="s">
        <v>13</v>
      </c>
      <c r="C294" s="300" t="s">
        <v>14</v>
      </c>
      <c r="D294" s="300"/>
      <c r="E294" s="300"/>
      <c r="F294" s="300"/>
      <c r="G294" s="152" t="s">
        <v>15</v>
      </c>
      <c r="H294" s="152" t="s">
        <v>16</v>
      </c>
      <c r="I294" s="152" t="s">
        <v>17</v>
      </c>
      <c r="J294" s="242"/>
      <c r="K294" s="242"/>
      <c r="L294" s="243"/>
      <c r="M294" s="243"/>
      <c r="N294" s="243"/>
      <c r="O294" s="243"/>
      <c r="P294" s="243"/>
      <c r="Q294" s="243"/>
      <c r="R294" s="243"/>
      <c r="S294" s="243"/>
    </row>
    <row r="295" spans="1:19" s="228" customFormat="1" ht="15.75">
      <c r="A295" s="300"/>
      <c r="B295" s="300"/>
      <c r="C295" s="300"/>
      <c r="D295" s="300"/>
      <c r="E295" s="300"/>
      <c r="F295" s="300"/>
      <c r="G295" s="152" t="s">
        <v>18</v>
      </c>
      <c r="H295" s="153" t="s">
        <v>19</v>
      </c>
      <c r="I295" s="153" t="s">
        <v>20</v>
      </c>
      <c r="J295" s="242"/>
      <c r="K295" s="242"/>
      <c r="L295" s="243"/>
      <c r="M295" s="243"/>
      <c r="N295" s="243"/>
      <c r="O295" s="243"/>
      <c r="P295" s="243"/>
      <c r="Q295" s="243"/>
      <c r="R295" s="243"/>
      <c r="S295" s="243"/>
    </row>
    <row r="296" spans="1:19" s="228" customFormat="1" ht="15.75">
      <c r="A296" s="214" t="s">
        <v>21</v>
      </c>
      <c r="B296" s="152" t="s">
        <v>22</v>
      </c>
      <c r="C296" s="281" t="s">
        <v>239</v>
      </c>
      <c r="D296" s="281"/>
      <c r="E296" s="281"/>
      <c r="F296" s="281"/>
      <c r="G296" s="215">
        <f>0.253^2*0.7854*8.89*1.015/10*26</f>
        <v>1.1794324989507059</v>
      </c>
      <c r="H296" s="10">
        <f>(J296+1300)/1.13/1000+3.79</f>
        <v>66.887345132743377</v>
      </c>
      <c r="I296" s="216">
        <f>G296*H296</f>
        <v>78.88910861808985</v>
      </c>
      <c r="J296" s="134">
        <v>70000</v>
      </c>
      <c r="K296" s="87"/>
      <c r="L296" s="243"/>
      <c r="M296" s="243"/>
      <c r="N296" s="243"/>
      <c r="O296" s="243"/>
      <c r="P296" s="243"/>
      <c r="Q296" s="243"/>
      <c r="R296" s="243"/>
      <c r="S296" s="243"/>
    </row>
    <row r="297" spans="1:19" s="228" customFormat="1" ht="17.25">
      <c r="A297" s="214">
        <v>2</v>
      </c>
      <c r="B297" s="152" t="s">
        <v>27</v>
      </c>
      <c r="C297" s="281" t="s">
        <v>342</v>
      </c>
      <c r="D297" s="281"/>
      <c r="E297" s="281"/>
      <c r="F297" s="281"/>
      <c r="G297" s="215">
        <f>(3.15^2-1.49^2*0.85)*0.7854*1.4/10</f>
        <v>0.88354209173999987</v>
      </c>
      <c r="H297" s="13">
        <v>43.3628</v>
      </c>
      <c r="I297" s="216">
        <f>G297*H297</f>
        <v>38.312859015703268</v>
      </c>
      <c r="J297" s="87"/>
      <c r="K297" s="87"/>
      <c r="L297" s="243"/>
      <c r="M297" s="243"/>
      <c r="N297" s="243"/>
      <c r="O297" s="243"/>
      <c r="P297" s="243"/>
      <c r="Q297" s="243"/>
      <c r="R297" s="243"/>
      <c r="S297" s="243"/>
    </row>
    <row r="298" spans="1:19" s="228" customFormat="1" ht="15.75">
      <c r="A298" s="231" t="s">
        <v>29</v>
      </c>
      <c r="B298" s="232">
        <f>I298/100</f>
        <v>1.1720196763379311</v>
      </c>
      <c r="C298" s="282"/>
      <c r="D298" s="282"/>
      <c r="E298" s="282"/>
      <c r="F298" s="282"/>
      <c r="G298" s="232">
        <f>SUM(G296:G297)/100</f>
        <v>2.0629745906907058E-2</v>
      </c>
      <c r="H298" s="233" t="s">
        <v>31</v>
      </c>
      <c r="I298" s="234">
        <f>SUM(I296:I297)</f>
        <v>117.20196763379312</v>
      </c>
      <c r="J298" s="66">
        <f>B298/I308</f>
        <v>0.81661600021502234</v>
      </c>
      <c r="K298" s="78">
        <f>G298*G306</f>
        <v>1031.4872953453528</v>
      </c>
      <c r="L298" s="243"/>
      <c r="M298" s="243"/>
      <c r="N298" s="243"/>
      <c r="O298" s="243"/>
      <c r="P298" s="243"/>
      <c r="Q298" s="243"/>
      <c r="R298" s="243"/>
      <c r="S298" s="243"/>
    </row>
    <row r="299" spans="1:19" s="228" customFormat="1" ht="36">
      <c r="A299" s="162" t="s">
        <v>13</v>
      </c>
      <c r="B299" s="163" t="s">
        <v>32</v>
      </c>
      <c r="C299" s="163" t="s">
        <v>33</v>
      </c>
      <c r="D299" s="162" t="s">
        <v>34</v>
      </c>
      <c r="E299" s="162" t="s">
        <v>35</v>
      </c>
      <c r="F299" s="163" t="s">
        <v>36</v>
      </c>
      <c r="G299" s="163" t="s">
        <v>37</v>
      </c>
      <c r="H299" s="164" t="s">
        <v>38</v>
      </c>
      <c r="I299" s="162" t="s">
        <v>39</v>
      </c>
      <c r="J299" s="242"/>
      <c r="K299" s="242"/>
      <c r="L299" s="243"/>
      <c r="M299" s="243"/>
      <c r="N299" s="243"/>
      <c r="O299" s="243"/>
      <c r="P299" s="243"/>
      <c r="Q299" s="243"/>
      <c r="R299" s="243"/>
      <c r="S299" s="243"/>
    </row>
    <row r="300" spans="1:19" s="228" customFormat="1" ht="15.75">
      <c r="A300" s="152" t="s">
        <v>22</v>
      </c>
      <c r="B300" s="235">
        <v>0.25</v>
      </c>
      <c r="C300" s="218">
        <v>0</v>
      </c>
      <c r="D300" s="107">
        <v>30</v>
      </c>
      <c r="E300" s="107">
        <f>B300*D300*G306/1000+C300*D300*G304</f>
        <v>375</v>
      </c>
      <c r="F300" s="209">
        <v>1</v>
      </c>
      <c r="G300" s="236">
        <v>0</v>
      </c>
      <c r="H300" s="111">
        <f>F300*I296</f>
        <v>78.88910861808985</v>
      </c>
      <c r="I300" s="167">
        <f>E300+H300*G304</f>
        <v>453.88910861808984</v>
      </c>
      <c r="J300" s="242"/>
      <c r="K300" s="242"/>
      <c r="L300" s="243"/>
      <c r="M300" s="243"/>
      <c r="N300" s="243"/>
      <c r="O300" s="243"/>
      <c r="P300" s="243"/>
      <c r="Q300" s="243"/>
      <c r="R300" s="243"/>
      <c r="S300" s="243"/>
    </row>
    <row r="301" spans="1:19" s="228" customFormat="1" ht="15.75">
      <c r="A301" s="152" t="s">
        <v>27</v>
      </c>
      <c r="B301" s="237">
        <f>1000/60/70</f>
        <v>0.23809523809523811</v>
      </c>
      <c r="C301" s="218">
        <v>0</v>
      </c>
      <c r="D301" s="107">
        <v>140</v>
      </c>
      <c r="E301" s="107">
        <f>B301*D301*G306/1000+C301*D301*G304</f>
        <v>1666.6666666666667</v>
      </c>
      <c r="F301" s="209">
        <v>2</v>
      </c>
      <c r="G301" s="211">
        <v>3</v>
      </c>
      <c r="H301" s="111">
        <f>F301*I298+G301*H297</f>
        <v>364.49233526758621</v>
      </c>
      <c r="I301" s="167">
        <f>E301+H301*G304</f>
        <v>2031.159001934253</v>
      </c>
      <c r="J301" s="242"/>
      <c r="K301" s="242"/>
      <c r="L301" s="243"/>
      <c r="M301" s="243"/>
      <c r="N301" s="243"/>
      <c r="O301" s="243"/>
      <c r="P301" s="243"/>
      <c r="Q301" s="243"/>
      <c r="R301" s="243"/>
      <c r="S301" s="243"/>
    </row>
    <row r="302" spans="1:19" s="228" customFormat="1" ht="15.75">
      <c r="A302" s="152" t="s">
        <v>320</v>
      </c>
      <c r="B302" s="237">
        <f>1000/60/100</f>
        <v>0.16666666666666669</v>
      </c>
      <c r="C302" s="218">
        <v>0</v>
      </c>
      <c r="D302" s="107">
        <v>50</v>
      </c>
      <c r="E302" s="107">
        <f>B302*D302*G306/1000+C302*D302*G304</f>
        <v>416.66666666666669</v>
      </c>
      <c r="F302" s="209"/>
      <c r="G302" s="211"/>
      <c r="H302" s="111"/>
      <c r="I302" s="107">
        <f>E302+H302*G304</f>
        <v>416.66666666666669</v>
      </c>
      <c r="J302" s="242"/>
      <c r="K302" s="242"/>
      <c r="L302" s="243"/>
      <c r="M302" s="243"/>
      <c r="N302" s="243"/>
      <c r="O302" s="243"/>
      <c r="P302" s="243"/>
      <c r="Q302" s="243"/>
      <c r="R302" s="243"/>
      <c r="S302" s="243"/>
    </row>
    <row r="303" spans="1:19" s="228" customFormat="1" ht="24">
      <c r="A303" s="283" t="s">
        <v>41</v>
      </c>
      <c r="B303" s="284"/>
      <c r="C303" s="114" t="s">
        <v>42</v>
      </c>
      <c r="D303" s="114" t="s">
        <v>43</v>
      </c>
      <c r="E303" s="114" t="s">
        <v>44</v>
      </c>
      <c r="F303" s="238" t="s">
        <v>45</v>
      </c>
      <c r="G303" s="53" t="s">
        <v>46</v>
      </c>
      <c r="H303" s="115" t="s">
        <v>47</v>
      </c>
      <c r="I303" s="116">
        <f>SUM(I300:I302)</f>
        <v>2901.7147772190092</v>
      </c>
      <c r="J303" s="242"/>
      <c r="K303" s="242"/>
      <c r="L303" s="243"/>
      <c r="M303" s="243"/>
      <c r="N303" s="243"/>
      <c r="O303" s="243"/>
      <c r="P303" s="243"/>
      <c r="Q303" s="243"/>
      <c r="R303" s="243"/>
      <c r="S303" s="243"/>
    </row>
    <row r="304" spans="1:19" s="228" customFormat="1" ht="15">
      <c r="A304" s="285"/>
      <c r="B304" s="286"/>
      <c r="C304" s="181">
        <f>0.0074/3</f>
        <v>2.4666666666666669E-3</v>
      </c>
      <c r="D304" s="72">
        <v>0.9</v>
      </c>
      <c r="E304" s="117">
        <v>3.7000000000000002E-3</v>
      </c>
      <c r="F304" s="225">
        <v>0.03</v>
      </c>
      <c r="G304" s="239">
        <v>1</v>
      </c>
      <c r="H304" s="289" t="s">
        <v>48</v>
      </c>
      <c r="I304" s="290" t="s">
        <v>49</v>
      </c>
      <c r="J304" s="242"/>
      <c r="K304" s="242"/>
      <c r="L304" s="243"/>
      <c r="M304" s="243"/>
      <c r="N304" s="243"/>
      <c r="O304" s="243"/>
      <c r="P304" s="243"/>
      <c r="Q304" s="243"/>
      <c r="R304" s="243"/>
      <c r="S304" s="243"/>
    </row>
    <row r="305" spans="1:19" s="228" customFormat="1" ht="24">
      <c r="A305" s="285"/>
      <c r="B305" s="286"/>
      <c r="C305" s="146" t="s">
        <v>214</v>
      </c>
      <c r="D305" s="44" t="s">
        <v>50</v>
      </c>
      <c r="E305" s="114" t="s">
        <v>51</v>
      </c>
      <c r="F305" s="115" t="s">
        <v>52</v>
      </c>
      <c r="G305" s="120" t="s">
        <v>53</v>
      </c>
      <c r="H305" s="289"/>
      <c r="I305" s="291"/>
      <c r="J305" s="242"/>
      <c r="K305" s="242"/>
      <c r="L305" s="243"/>
      <c r="M305" s="243"/>
      <c r="N305" s="243"/>
      <c r="O305" s="243"/>
      <c r="P305" s="243"/>
      <c r="Q305" s="243"/>
      <c r="R305" s="243"/>
      <c r="S305" s="243"/>
    </row>
    <row r="306" spans="1:19" s="228" customFormat="1" ht="18.75">
      <c r="A306" s="285"/>
      <c r="B306" s="286"/>
      <c r="C306" s="133">
        <f>300/200000*G306</f>
        <v>75</v>
      </c>
      <c r="D306" s="47">
        <v>0.06</v>
      </c>
      <c r="E306" s="76">
        <v>0</v>
      </c>
      <c r="F306" s="49">
        <v>0</v>
      </c>
      <c r="G306" s="50">
        <v>50000</v>
      </c>
      <c r="H306" s="121">
        <f>I303/G306+B298+B298*F304</f>
        <v>1.2652145621724493</v>
      </c>
      <c r="I306" s="179">
        <f>(H306/(1-D306)+C304+E304+E306/G306+C306/G306+C308*D308+D304*G298)*(1+F306)*(1+E308+F308)</f>
        <v>1.4228349167464245</v>
      </c>
      <c r="J306" s="242"/>
      <c r="K306" s="242"/>
      <c r="L306" s="243"/>
      <c r="M306" s="243"/>
      <c r="N306" s="243"/>
      <c r="O306" s="243"/>
      <c r="P306" s="243"/>
      <c r="Q306" s="243"/>
      <c r="R306" s="243"/>
      <c r="S306" s="243"/>
    </row>
    <row r="307" spans="1:19" s="228" customFormat="1" ht="15">
      <c r="A307" s="285"/>
      <c r="B307" s="286"/>
      <c r="C307" s="238" t="s">
        <v>54</v>
      </c>
      <c r="D307" s="238" t="s">
        <v>55</v>
      </c>
      <c r="E307" s="53" t="s">
        <v>56</v>
      </c>
      <c r="F307" s="53" t="s">
        <v>57</v>
      </c>
      <c r="G307" s="53" t="s">
        <v>58</v>
      </c>
      <c r="H307" s="240" t="s">
        <v>59</v>
      </c>
      <c r="I307" s="180" t="s">
        <v>60</v>
      </c>
      <c r="J307" s="242"/>
      <c r="K307" s="242"/>
      <c r="L307" s="243"/>
      <c r="M307" s="243"/>
      <c r="N307" s="243"/>
      <c r="O307" s="243"/>
      <c r="P307" s="243"/>
      <c r="Q307" s="243"/>
      <c r="R307" s="243"/>
      <c r="S307" s="243"/>
    </row>
    <row r="308" spans="1:19" s="228" customFormat="1" ht="18.75">
      <c r="A308" s="287"/>
      <c r="B308" s="288"/>
      <c r="C308" s="241">
        <v>1</v>
      </c>
      <c r="D308" s="223">
        <v>0.02</v>
      </c>
      <c r="E308" s="58">
        <f>0.7%</f>
        <v>6.9999999999999993E-3</v>
      </c>
      <c r="F308" s="58">
        <f>0.5%*3</f>
        <v>1.4999999999999999E-2</v>
      </c>
      <c r="G308" s="59">
        <v>0.15</v>
      </c>
      <c r="H308" s="121">
        <f>(H306+C304+E304+E306/G306+C306/G306+C308*D308+D304*G298)*(1+F306)*(1+E308+F308)</f>
        <v>1.3402998561587494</v>
      </c>
      <c r="I308" s="179">
        <f>I306+(I306-H308)*G308</f>
        <v>1.4352151758345757</v>
      </c>
      <c r="J308" s="242"/>
      <c r="K308" s="242"/>
      <c r="L308" s="243"/>
      <c r="M308" s="243"/>
      <c r="N308" s="243"/>
      <c r="O308" s="243"/>
      <c r="P308" s="243"/>
      <c r="Q308" s="243"/>
      <c r="R308" s="243"/>
      <c r="S308" s="243"/>
    </row>
    <row r="309" spans="1:19" s="228" customFormat="1" ht="25.5">
      <c r="A309" s="292" t="s">
        <v>0</v>
      </c>
      <c r="B309" s="292"/>
      <c r="C309" s="292"/>
      <c r="D309" s="292"/>
      <c r="E309" s="292"/>
      <c r="F309" s="292"/>
      <c r="G309" s="292"/>
      <c r="H309" s="292"/>
      <c r="I309" s="292"/>
      <c r="J309" s="242"/>
      <c r="K309" s="242"/>
      <c r="L309" s="243"/>
      <c r="M309" s="243"/>
      <c r="N309" s="243"/>
      <c r="O309" s="243"/>
      <c r="P309" s="243"/>
      <c r="Q309" s="243"/>
      <c r="R309" s="243"/>
      <c r="S309" s="243"/>
    </row>
    <row r="310" spans="1:19" s="228" customFormat="1" ht="25.5">
      <c r="A310" s="147"/>
      <c r="B310" s="229"/>
      <c r="C310" s="229"/>
      <c r="D310" s="229"/>
      <c r="E310" s="229"/>
      <c r="F310" s="229"/>
      <c r="G310" s="229"/>
      <c r="H310" s="230" t="s">
        <v>2</v>
      </c>
      <c r="I310" s="213" t="s">
        <v>338</v>
      </c>
      <c r="J310" s="242"/>
      <c r="K310" s="242"/>
      <c r="L310" s="243"/>
      <c r="M310" s="243"/>
      <c r="N310" s="243"/>
      <c r="O310" s="243"/>
      <c r="P310" s="243"/>
      <c r="Q310" s="243"/>
      <c r="R310" s="243"/>
      <c r="S310" s="243"/>
    </row>
    <row r="311" spans="1:19" s="228" customFormat="1" ht="15">
      <c r="A311" s="152" t="s">
        <v>5</v>
      </c>
      <c r="B311" s="293" t="s">
        <v>341</v>
      </c>
      <c r="C311" s="301"/>
      <c r="D311" s="301"/>
      <c r="E311" s="301"/>
      <c r="F311" s="302"/>
      <c r="G311" s="152" t="s">
        <v>6</v>
      </c>
      <c r="H311" s="296">
        <v>45167</v>
      </c>
      <c r="I311" s="297"/>
      <c r="J311" s="242"/>
      <c r="K311" s="242"/>
      <c r="L311" s="243"/>
      <c r="M311" s="243"/>
      <c r="N311" s="243"/>
      <c r="O311" s="243"/>
      <c r="P311" s="243"/>
      <c r="Q311" s="243"/>
      <c r="R311" s="243"/>
      <c r="S311" s="243"/>
    </row>
    <row r="312" spans="1:19" s="228" customFormat="1" ht="16.5" customHeight="1">
      <c r="A312" s="152" t="s">
        <v>8</v>
      </c>
      <c r="B312" s="298" t="s">
        <v>224</v>
      </c>
      <c r="C312" s="298"/>
      <c r="D312" s="298"/>
      <c r="E312" s="298"/>
      <c r="F312" s="298"/>
      <c r="G312" s="152" t="s">
        <v>10</v>
      </c>
      <c r="H312" s="299" t="s">
        <v>343</v>
      </c>
      <c r="I312" s="299"/>
      <c r="J312" s="242" t="s">
        <v>355</v>
      </c>
      <c r="K312" s="242"/>
      <c r="L312" s="243"/>
      <c r="M312" s="243"/>
      <c r="N312" s="243"/>
      <c r="O312" s="243"/>
      <c r="P312" s="243"/>
      <c r="Q312" s="243"/>
      <c r="R312" s="243"/>
      <c r="S312" s="243"/>
    </row>
    <row r="313" spans="1:19" s="228" customFormat="1" ht="15">
      <c r="A313" s="300" t="s">
        <v>12</v>
      </c>
      <c r="B313" s="300" t="s">
        <v>13</v>
      </c>
      <c r="C313" s="300" t="s">
        <v>14</v>
      </c>
      <c r="D313" s="300"/>
      <c r="E313" s="300"/>
      <c r="F313" s="300"/>
      <c r="G313" s="152" t="s">
        <v>15</v>
      </c>
      <c r="H313" s="152" t="s">
        <v>16</v>
      </c>
      <c r="I313" s="152" t="s">
        <v>17</v>
      </c>
      <c r="J313" s="242"/>
      <c r="K313" s="242"/>
      <c r="L313" s="243"/>
      <c r="M313" s="243"/>
      <c r="N313" s="243"/>
      <c r="O313" s="243"/>
      <c r="P313" s="243"/>
      <c r="Q313" s="243"/>
      <c r="R313" s="243"/>
      <c r="S313" s="243"/>
    </row>
    <row r="314" spans="1:19" s="228" customFormat="1" ht="15.75">
      <c r="A314" s="300"/>
      <c r="B314" s="300"/>
      <c r="C314" s="300"/>
      <c r="D314" s="300"/>
      <c r="E314" s="300"/>
      <c r="F314" s="300"/>
      <c r="G314" s="152" t="s">
        <v>18</v>
      </c>
      <c r="H314" s="153" t="s">
        <v>19</v>
      </c>
      <c r="I314" s="153" t="s">
        <v>20</v>
      </c>
      <c r="J314" s="242"/>
      <c r="K314" s="242"/>
      <c r="L314" s="243"/>
      <c r="M314" s="243"/>
      <c r="N314" s="243"/>
      <c r="O314" s="243"/>
      <c r="P314" s="243"/>
      <c r="Q314" s="243"/>
      <c r="R314" s="243"/>
      <c r="S314" s="243"/>
    </row>
    <row r="315" spans="1:19" s="228" customFormat="1" ht="15.75">
      <c r="A315" s="214" t="s">
        <v>21</v>
      </c>
      <c r="B315" s="152" t="s">
        <v>22</v>
      </c>
      <c r="C315" s="281" t="s">
        <v>321</v>
      </c>
      <c r="D315" s="281"/>
      <c r="E315" s="281"/>
      <c r="F315" s="281"/>
      <c r="G315" s="215">
        <f>0.158^2*0.7854*8.89*1.015*17/10</f>
        <v>0.30076119065269197</v>
      </c>
      <c r="H315" s="10">
        <f>(J315+1300)/1.13/1000+4.49</f>
        <v>67.587345132743366</v>
      </c>
      <c r="I315" s="216">
        <f>G315*H315</f>
        <v>20.327650395178321</v>
      </c>
      <c r="J315" s="134">
        <v>70000</v>
      </c>
      <c r="K315" s="87"/>
      <c r="L315" s="243"/>
      <c r="M315" s="243"/>
      <c r="N315" s="243"/>
      <c r="O315" s="243"/>
      <c r="P315" s="243"/>
      <c r="Q315" s="243"/>
      <c r="R315" s="243"/>
      <c r="S315" s="243"/>
    </row>
    <row r="316" spans="1:19" s="228" customFormat="1" ht="17.25">
      <c r="A316" s="214">
        <v>2</v>
      </c>
      <c r="B316" s="152" t="s">
        <v>27</v>
      </c>
      <c r="C316" s="281" t="s">
        <v>344</v>
      </c>
      <c r="D316" s="281"/>
      <c r="E316" s="281"/>
      <c r="F316" s="281"/>
      <c r="G316" s="215">
        <f>(2.43^2-0.74^2*0.85)*0.7854*1.4/10</f>
        <v>0.59809906463999996</v>
      </c>
      <c r="H316" s="13">
        <v>43.3628</v>
      </c>
      <c r="I316" s="216">
        <f>G316*H316</f>
        <v>25.935250120171389</v>
      </c>
      <c r="J316" s="87"/>
      <c r="K316" s="87"/>
      <c r="L316" s="243"/>
      <c r="M316" s="243"/>
      <c r="N316" s="243"/>
      <c r="O316" s="243"/>
      <c r="P316" s="243"/>
      <c r="Q316" s="243"/>
      <c r="R316" s="243"/>
      <c r="S316" s="243"/>
    </row>
    <row r="317" spans="1:19" s="228" customFormat="1" ht="15.75">
      <c r="A317" s="231" t="s">
        <v>29</v>
      </c>
      <c r="B317" s="232">
        <f>I317/100</f>
        <v>0.46262900515349714</v>
      </c>
      <c r="C317" s="282"/>
      <c r="D317" s="282"/>
      <c r="E317" s="282"/>
      <c r="F317" s="282"/>
      <c r="G317" s="232">
        <f>SUM(G315:G316)/100</f>
        <v>8.9886025529269178E-3</v>
      </c>
      <c r="H317" s="233" t="s">
        <v>31</v>
      </c>
      <c r="I317" s="234">
        <f>SUM(I315:I316)</f>
        <v>46.262900515349713</v>
      </c>
      <c r="J317" s="66">
        <f>B317/I327</f>
        <v>0.77745039018979556</v>
      </c>
      <c r="K317" s="78">
        <f>G317*G325</f>
        <v>449.43012764634591</v>
      </c>
      <c r="L317" s="243"/>
      <c r="M317" s="243"/>
      <c r="N317" s="243"/>
      <c r="O317" s="243"/>
      <c r="P317" s="243"/>
      <c r="Q317" s="243"/>
      <c r="R317" s="243"/>
      <c r="S317" s="243"/>
    </row>
    <row r="318" spans="1:19" s="228" customFormat="1" ht="36">
      <c r="A318" s="162" t="s">
        <v>13</v>
      </c>
      <c r="B318" s="163" t="s">
        <v>32</v>
      </c>
      <c r="C318" s="163" t="s">
        <v>33</v>
      </c>
      <c r="D318" s="162" t="s">
        <v>34</v>
      </c>
      <c r="E318" s="162" t="s">
        <v>35</v>
      </c>
      <c r="F318" s="163" t="s">
        <v>36</v>
      </c>
      <c r="G318" s="163" t="s">
        <v>37</v>
      </c>
      <c r="H318" s="164" t="s">
        <v>38</v>
      </c>
      <c r="I318" s="162" t="s">
        <v>39</v>
      </c>
      <c r="J318" s="242"/>
      <c r="K318" s="242"/>
      <c r="L318" s="243"/>
      <c r="M318" s="243"/>
      <c r="N318" s="243"/>
      <c r="O318" s="243"/>
      <c r="P318" s="243"/>
      <c r="Q318" s="243"/>
      <c r="R318" s="243"/>
      <c r="S318" s="243"/>
    </row>
    <row r="319" spans="1:19" s="228" customFormat="1" ht="15.75">
      <c r="A319" s="152" t="s">
        <v>22</v>
      </c>
      <c r="B319" s="237">
        <v>0.28599999999999998</v>
      </c>
      <c r="C319" s="218">
        <v>0</v>
      </c>
      <c r="D319" s="107">
        <v>10</v>
      </c>
      <c r="E319" s="107">
        <f>B319*D319*G325/1000+C319*D319*G323</f>
        <v>143</v>
      </c>
      <c r="F319" s="209">
        <v>1</v>
      </c>
      <c r="G319" s="236">
        <v>0</v>
      </c>
      <c r="H319" s="111">
        <f>F319*I315</f>
        <v>20.327650395178321</v>
      </c>
      <c r="I319" s="167">
        <f>E319+H319*G323</f>
        <v>163.32765039517832</v>
      </c>
      <c r="J319" s="242"/>
      <c r="K319" s="242"/>
      <c r="L319" s="243"/>
      <c r="M319" s="243"/>
      <c r="N319" s="243"/>
      <c r="O319" s="243"/>
      <c r="P319" s="243"/>
      <c r="Q319" s="243"/>
      <c r="R319" s="243"/>
      <c r="S319" s="243"/>
    </row>
    <row r="320" spans="1:19" s="228" customFormat="1" ht="15.75">
      <c r="A320" s="152" t="s">
        <v>27</v>
      </c>
      <c r="B320" s="237">
        <f>1000/60/100</f>
        <v>0.16666666666666669</v>
      </c>
      <c r="C320" s="218">
        <v>0</v>
      </c>
      <c r="D320" s="107">
        <v>120</v>
      </c>
      <c r="E320" s="107">
        <f>B320*D320*G325/1000+C320*D320*G323</f>
        <v>1000.0000000000002</v>
      </c>
      <c r="F320" s="209">
        <v>2</v>
      </c>
      <c r="G320" s="211">
        <v>3</v>
      </c>
      <c r="H320" s="111">
        <f>F320*I317+G320*H316</f>
        <v>222.61420103069943</v>
      </c>
      <c r="I320" s="167">
        <f>E320+H320*G323</f>
        <v>1222.6142010306996</v>
      </c>
      <c r="J320" s="242"/>
      <c r="K320" s="242"/>
      <c r="L320" s="243"/>
      <c r="M320" s="243"/>
      <c r="N320" s="243"/>
      <c r="O320" s="243"/>
      <c r="P320" s="243"/>
      <c r="Q320" s="243"/>
      <c r="R320" s="243"/>
      <c r="S320" s="243"/>
    </row>
    <row r="321" spans="1:19" s="228" customFormat="1" ht="15.75">
      <c r="A321" s="152" t="s">
        <v>320</v>
      </c>
      <c r="B321" s="237">
        <f>1000/60/120</f>
        <v>0.1388888888888889</v>
      </c>
      <c r="C321" s="218">
        <v>0</v>
      </c>
      <c r="D321" s="107">
        <v>50</v>
      </c>
      <c r="E321" s="107">
        <f>B321*D321*G325/1000+C321*D321*G323</f>
        <v>347.22222222222223</v>
      </c>
      <c r="F321" s="209"/>
      <c r="G321" s="211"/>
      <c r="H321" s="111"/>
      <c r="I321" s="107">
        <f>E321+H321*G323</f>
        <v>347.22222222222223</v>
      </c>
      <c r="J321" s="242"/>
      <c r="K321" s="242"/>
      <c r="L321" s="243"/>
      <c r="M321" s="243"/>
      <c r="N321" s="243"/>
      <c r="O321" s="243"/>
      <c r="P321" s="243"/>
      <c r="Q321" s="243"/>
      <c r="R321" s="243"/>
      <c r="S321" s="243"/>
    </row>
    <row r="322" spans="1:19" s="228" customFormat="1" ht="24">
      <c r="A322" s="283" t="s">
        <v>41</v>
      </c>
      <c r="B322" s="284"/>
      <c r="C322" s="114" t="s">
        <v>42</v>
      </c>
      <c r="D322" s="114" t="s">
        <v>43</v>
      </c>
      <c r="E322" s="114" t="s">
        <v>44</v>
      </c>
      <c r="F322" s="238" t="s">
        <v>45</v>
      </c>
      <c r="G322" s="53" t="s">
        <v>46</v>
      </c>
      <c r="H322" s="115" t="s">
        <v>47</v>
      </c>
      <c r="I322" s="116">
        <f>SUM(I319:I321)</f>
        <v>1733.1640736481002</v>
      </c>
      <c r="J322" s="242"/>
      <c r="K322" s="242"/>
      <c r="L322" s="243"/>
      <c r="M322" s="243"/>
      <c r="N322" s="243"/>
      <c r="O322" s="243"/>
      <c r="P322" s="243"/>
      <c r="Q322" s="243"/>
      <c r="R322" s="243"/>
      <c r="S322" s="243"/>
    </row>
    <row r="323" spans="1:19" s="228" customFormat="1" ht="15">
      <c r="A323" s="285"/>
      <c r="B323" s="286"/>
      <c r="C323" s="181">
        <f>0.0074/3</f>
        <v>2.4666666666666669E-3</v>
      </c>
      <c r="D323" s="72">
        <v>0.9</v>
      </c>
      <c r="E323" s="117">
        <v>1.5E-3</v>
      </c>
      <c r="F323" s="225">
        <v>0.03</v>
      </c>
      <c r="G323" s="239">
        <v>1</v>
      </c>
      <c r="H323" s="289" t="s">
        <v>48</v>
      </c>
      <c r="I323" s="290" t="s">
        <v>49</v>
      </c>
      <c r="J323" s="242"/>
      <c r="K323" s="242"/>
      <c r="L323" s="243"/>
      <c r="M323" s="243"/>
      <c r="N323" s="243"/>
      <c r="O323" s="243"/>
      <c r="P323" s="243"/>
      <c r="Q323" s="243"/>
      <c r="R323" s="243"/>
      <c r="S323" s="243"/>
    </row>
    <row r="324" spans="1:19" s="228" customFormat="1" ht="24">
      <c r="A324" s="285"/>
      <c r="B324" s="286"/>
      <c r="C324" s="146" t="s">
        <v>214</v>
      </c>
      <c r="D324" s="44" t="s">
        <v>50</v>
      </c>
      <c r="E324" s="114" t="s">
        <v>51</v>
      </c>
      <c r="F324" s="115" t="s">
        <v>52</v>
      </c>
      <c r="G324" s="120" t="s">
        <v>53</v>
      </c>
      <c r="H324" s="289"/>
      <c r="I324" s="291"/>
      <c r="J324" s="242"/>
      <c r="K324" s="242"/>
      <c r="L324" s="243"/>
      <c r="M324" s="243"/>
      <c r="N324" s="243"/>
      <c r="O324" s="243"/>
      <c r="P324" s="243"/>
      <c r="Q324" s="243"/>
      <c r="R324" s="243"/>
      <c r="S324" s="243"/>
    </row>
    <row r="325" spans="1:19" s="228" customFormat="1" ht="18.75">
      <c r="A325" s="285"/>
      <c r="B325" s="286"/>
      <c r="C325" s="133">
        <f>300/200000*G325</f>
        <v>75</v>
      </c>
      <c r="D325" s="47">
        <v>0.06</v>
      </c>
      <c r="E325" s="76">
        <v>0</v>
      </c>
      <c r="F325" s="49">
        <v>0</v>
      </c>
      <c r="G325" s="50">
        <v>50000</v>
      </c>
      <c r="H325" s="121">
        <f>I322/G325+B317+B317*F323</f>
        <v>0.51117115678106406</v>
      </c>
      <c r="I325" s="179">
        <f>(H325/(1-D325)+C323+E323+E325/G325+C325/G325+C327*D327+D323*G317)*(1+F325)*(1+E327+F327)</f>
        <v>0.59005733318518283</v>
      </c>
      <c r="J325" s="242"/>
      <c r="K325" s="242"/>
      <c r="L325" s="243"/>
      <c r="M325" s="243"/>
      <c r="N325" s="243"/>
      <c r="O325" s="243"/>
      <c r="P325" s="243"/>
      <c r="Q325" s="243"/>
      <c r="R325" s="243"/>
      <c r="S325" s="243"/>
    </row>
    <row r="326" spans="1:19" s="228" customFormat="1" ht="15">
      <c r="A326" s="285"/>
      <c r="B326" s="286"/>
      <c r="C326" s="238" t="s">
        <v>54</v>
      </c>
      <c r="D326" s="238" t="s">
        <v>55</v>
      </c>
      <c r="E326" s="53" t="s">
        <v>56</v>
      </c>
      <c r="F326" s="53" t="s">
        <v>57</v>
      </c>
      <c r="G326" s="53" t="s">
        <v>58</v>
      </c>
      <c r="H326" s="240" t="s">
        <v>59</v>
      </c>
      <c r="I326" s="180" t="s">
        <v>60</v>
      </c>
      <c r="J326" s="242"/>
      <c r="K326" s="242"/>
      <c r="L326" s="243"/>
      <c r="M326" s="243"/>
      <c r="N326" s="243"/>
      <c r="O326" s="243"/>
      <c r="P326" s="243"/>
      <c r="Q326" s="243"/>
      <c r="R326" s="243"/>
      <c r="S326" s="243"/>
    </row>
    <row r="327" spans="1:19" s="228" customFormat="1" ht="18.75">
      <c r="A327" s="287"/>
      <c r="B327" s="288"/>
      <c r="C327" s="241">
        <v>1</v>
      </c>
      <c r="D327" s="223">
        <v>0.02</v>
      </c>
      <c r="E327" s="58">
        <f>0.7%</f>
        <v>6.9999999999999993E-3</v>
      </c>
      <c r="F327" s="58">
        <f>0.5%*3</f>
        <v>1.4999999999999999E-2</v>
      </c>
      <c r="G327" s="59">
        <v>0.15</v>
      </c>
      <c r="H327" s="121">
        <f>(H325+C323+E323+E325/G325+C325/G325+C327*D327+D323*G317)*(1+F325)*(1+E327+F327)</f>
        <v>0.55671157219176282</v>
      </c>
      <c r="I327" s="179">
        <f>I325+(I325-H327)*G327</f>
        <v>0.59505919733419588</v>
      </c>
      <c r="J327" s="242"/>
      <c r="K327" s="242"/>
      <c r="L327" s="243"/>
      <c r="M327" s="243"/>
      <c r="N327" s="243"/>
      <c r="O327" s="243"/>
      <c r="P327" s="243"/>
      <c r="Q327" s="243"/>
      <c r="R327" s="243"/>
      <c r="S327" s="243"/>
    </row>
    <row r="328" spans="1:19" s="228" customFormat="1" ht="25.5">
      <c r="A328" s="292" t="s">
        <v>0</v>
      </c>
      <c r="B328" s="292"/>
      <c r="C328" s="292"/>
      <c r="D328" s="292"/>
      <c r="E328" s="292"/>
      <c r="F328" s="292"/>
      <c r="G328" s="292"/>
      <c r="H328" s="292"/>
      <c r="I328" s="292"/>
      <c r="J328" s="242"/>
      <c r="K328" s="242"/>
      <c r="L328" s="243"/>
      <c r="M328" s="243"/>
      <c r="N328" s="243"/>
      <c r="O328" s="243"/>
      <c r="P328" s="243"/>
      <c r="Q328" s="243"/>
      <c r="R328" s="243"/>
      <c r="S328" s="243"/>
    </row>
    <row r="329" spans="1:19" s="228" customFormat="1" ht="25.5">
      <c r="A329" s="147"/>
      <c r="B329" s="229"/>
      <c r="C329" s="229"/>
      <c r="D329" s="229"/>
      <c r="E329" s="229"/>
      <c r="F329" s="229"/>
      <c r="G329" s="229"/>
      <c r="H329" s="230" t="s">
        <v>2</v>
      </c>
      <c r="I329" s="213" t="s">
        <v>339</v>
      </c>
      <c r="J329" s="242"/>
      <c r="K329" s="242"/>
      <c r="L329" s="243"/>
      <c r="M329" s="243"/>
      <c r="N329" s="243"/>
      <c r="O329" s="243"/>
      <c r="P329" s="243"/>
      <c r="Q329" s="243"/>
      <c r="R329" s="243"/>
      <c r="S329" s="243"/>
    </row>
    <row r="330" spans="1:19" s="228" customFormat="1" ht="15">
      <c r="A330" s="152" t="s">
        <v>5</v>
      </c>
      <c r="B330" s="293" t="s">
        <v>345</v>
      </c>
      <c r="C330" s="294"/>
      <c r="D330" s="294"/>
      <c r="E330" s="294"/>
      <c r="F330" s="295"/>
      <c r="G330" s="152" t="s">
        <v>6</v>
      </c>
      <c r="H330" s="296">
        <v>45167</v>
      </c>
      <c r="I330" s="297"/>
      <c r="J330" s="242"/>
      <c r="K330" s="242"/>
      <c r="L330" s="243"/>
      <c r="M330" s="243"/>
      <c r="N330" s="243"/>
      <c r="O330" s="243"/>
      <c r="P330" s="243"/>
      <c r="Q330" s="243"/>
      <c r="R330" s="243"/>
      <c r="S330" s="243"/>
    </row>
    <row r="331" spans="1:19" s="228" customFormat="1" ht="16.5" customHeight="1">
      <c r="A331" s="152" t="s">
        <v>8</v>
      </c>
      <c r="B331" s="298" t="s">
        <v>229</v>
      </c>
      <c r="C331" s="298"/>
      <c r="D331" s="298"/>
      <c r="E331" s="298"/>
      <c r="F331" s="298"/>
      <c r="G331" s="152" t="s">
        <v>10</v>
      </c>
      <c r="H331" s="299" t="s">
        <v>351</v>
      </c>
      <c r="I331" s="299"/>
      <c r="J331" s="242" t="s">
        <v>355</v>
      </c>
      <c r="K331" s="242"/>
      <c r="L331" s="243"/>
      <c r="M331" s="243"/>
      <c r="N331" s="243"/>
      <c r="O331" s="243"/>
      <c r="P331" s="243"/>
      <c r="Q331" s="243"/>
      <c r="R331" s="243"/>
      <c r="S331" s="243"/>
    </row>
    <row r="332" spans="1:19" s="228" customFormat="1" ht="15">
      <c r="A332" s="300" t="s">
        <v>12</v>
      </c>
      <c r="B332" s="300" t="s">
        <v>13</v>
      </c>
      <c r="C332" s="300" t="s">
        <v>14</v>
      </c>
      <c r="D332" s="300"/>
      <c r="E332" s="300"/>
      <c r="F332" s="300"/>
      <c r="G332" s="152" t="s">
        <v>15</v>
      </c>
      <c r="H332" s="152" t="s">
        <v>16</v>
      </c>
      <c r="I332" s="152" t="s">
        <v>17</v>
      </c>
      <c r="J332" s="242"/>
      <c r="K332" s="242"/>
      <c r="L332" s="243"/>
      <c r="M332" s="243"/>
      <c r="N332" s="243"/>
      <c r="O332" s="243"/>
      <c r="P332" s="243"/>
      <c r="Q332" s="243"/>
      <c r="R332" s="243"/>
      <c r="S332" s="243"/>
    </row>
    <row r="333" spans="1:19" s="228" customFormat="1" ht="15.75">
      <c r="A333" s="300"/>
      <c r="B333" s="300"/>
      <c r="C333" s="300"/>
      <c r="D333" s="300"/>
      <c r="E333" s="300"/>
      <c r="F333" s="300"/>
      <c r="G333" s="152" t="s">
        <v>18</v>
      </c>
      <c r="H333" s="153" t="s">
        <v>19</v>
      </c>
      <c r="I333" s="153" t="s">
        <v>20</v>
      </c>
      <c r="J333" s="242"/>
      <c r="K333" s="242"/>
      <c r="L333" s="243"/>
      <c r="M333" s="243"/>
      <c r="N333" s="243"/>
      <c r="O333" s="243"/>
      <c r="P333" s="243"/>
      <c r="Q333" s="243"/>
      <c r="R333" s="243"/>
      <c r="S333" s="243"/>
    </row>
    <row r="334" spans="1:19" s="228" customFormat="1" ht="15.75">
      <c r="A334" s="214" t="s">
        <v>21</v>
      </c>
      <c r="B334" s="152" t="s">
        <v>22</v>
      </c>
      <c r="C334" s="281" t="s">
        <v>229</v>
      </c>
      <c r="D334" s="281"/>
      <c r="E334" s="281"/>
      <c r="F334" s="281"/>
      <c r="G334" s="215">
        <f>0.159^2*0.7854*8.89*1.015*7/10</f>
        <v>0.12541543499400298</v>
      </c>
      <c r="H334" s="10">
        <f>(J334+1300)/1.13/1000+4.49</f>
        <v>67.587345132743366</v>
      </c>
      <c r="I334" s="216">
        <f>G334*H334</f>
        <v>8.47649628991282</v>
      </c>
      <c r="J334" s="134">
        <v>70000</v>
      </c>
      <c r="K334" s="87"/>
      <c r="L334" s="243"/>
      <c r="M334" s="243"/>
      <c r="N334" s="243"/>
      <c r="O334" s="243"/>
      <c r="P334" s="243"/>
      <c r="Q334" s="243"/>
      <c r="R334" s="243"/>
      <c r="S334" s="243"/>
    </row>
    <row r="335" spans="1:19" s="228" customFormat="1" ht="17.25">
      <c r="A335" s="214">
        <v>2</v>
      </c>
      <c r="B335" s="152" t="s">
        <v>27</v>
      </c>
      <c r="C335" s="281" t="s">
        <v>346</v>
      </c>
      <c r="D335" s="281"/>
      <c r="E335" s="281"/>
      <c r="F335" s="281"/>
      <c r="G335" s="215">
        <f>(2.13^2-0.46^2*0.85)*0.7854*1.4/10</f>
        <v>0.47908269023999994</v>
      </c>
      <c r="H335" s="13">
        <v>43.3628</v>
      </c>
      <c r="I335" s="216">
        <f>G335*H335</f>
        <v>20.77436688033907</v>
      </c>
      <c r="J335" s="87"/>
      <c r="K335" s="87"/>
      <c r="L335" s="243"/>
      <c r="M335" s="243"/>
      <c r="N335" s="243"/>
      <c r="O335" s="243"/>
      <c r="P335" s="243"/>
      <c r="Q335" s="243"/>
      <c r="R335" s="243"/>
      <c r="S335" s="243"/>
    </row>
    <row r="336" spans="1:19" s="228" customFormat="1" ht="15.75">
      <c r="A336" s="231" t="s">
        <v>29</v>
      </c>
      <c r="B336" s="232">
        <f>I336/100</f>
        <v>0.2925086317025189</v>
      </c>
      <c r="C336" s="282"/>
      <c r="D336" s="282"/>
      <c r="E336" s="282"/>
      <c r="F336" s="282"/>
      <c r="G336" s="232">
        <f>SUM(G334:G335)/100</f>
        <v>6.0449812523400296E-3</v>
      </c>
      <c r="H336" s="233" t="s">
        <v>31</v>
      </c>
      <c r="I336" s="234">
        <f>SUM(I334:I335)</f>
        <v>29.25086317025189</v>
      </c>
      <c r="J336" s="66">
        <f>B336/I346</f>
        <v>0.7274037908635862</v>
      </c>
      <c r="K336" s="78">
        <f>G336*G344</f>
        <v>302.24906261700147</v>
      </c>
      <c r="L336" s="243"/>
      <c r="M336" s="243"/>
      <c r="N336" s="243"/>
      <c r="O336" s="243"/>
      <c r="P336" s="243"/>
      <c r="Q336" s="243"/>
      <c r="R336" s="243"/>
      <c r="S336" s="243"/>
    </row>
    <row r="337" spans="1:19" s="228" customFormat="1" ht="36">
      <c r="A337" s="162" t="s">
        <v>13</v>
      </c>
      <c r="B337" s="163" t="s">
        <v>32</v>
      </c>
      <c r="C337" s="163" t="s">
        <v>33</v>
      </c>
      <c r="D337" s="162" t="s">
        <v>34</v>
      </c>
      <c r="E337" s="162" t="s">
        <v>35</v>
      </c>
      <c r="F337" s="163" t="s">
        <v>36</v>
      </c>
      <c r="G337" s="163" t="s">
        <v>37</v>
      </c>
      <c r="H337" s="164" t="s">
        <v>38</v>
      </c>
      <c r="I337" s="162" t="s">
        <v>39</v>
      </c>
      <c r="J337" s="242"/>
      <c r="K337" s="242"/>
      <c r="L337" s="243"/>
      <c r="M337" s="243"/>
      <c r="N337" s="243"/>
      <c r="O337" s="243"/>
      <c r="P337" s="243"/>
      <c r="Q337" s="243"/>
      <c r="R337" s="243"/>
      <c r="S337" s="243"/>
    </row>
    <row r="338" spans="1:19" s="228" customFormat="1" ht="15.75">
      <c r="A338" s="152" t="s">
        <v>22</v>
      </c>
      <c r="B338" s="237">
        <v>0.4</v>
      </c>
      <c r="C338" s="218">
        <v>0</v>
      </c>
      <c r="D338" s="107">
        <v>14</v>
      </c>
      <c r="E338" s="107">
        <f>B338*D338*G344/1000+C338*D338*G342</f>
        <v>280</v>
      </c>
      <c r="F338" s="209">
        <v>1</v>
      </c>
      <c r="G338" s="236">
        <v>0</v>
      </c>
      <c r="H338" s="111">
        <f>F338*I334</f>
        <v>8.47649628991282</v>
      </c>
      <c r="I338" s="167">
        <f>E338+H338*G342</f>
        <v>288.4764962899128</v>
      </c>
      <c r="J338" s="242"/>
      <c r="K338" s="242"/>
      <c r="L338" s="243"/>
      <c r="M338" s="243"/>
      <c r="N338" s="243"/>
      <c r="O338" s="243"/>
      <c r="P338" s="243"/>
      <c r="Q338" s="243"/>
      <c r="R338" s="243"/>
      <c r="S338" s="243"/>
    </row>
    <row r="339" spans="1:19" s="228" customFormat="1" ht="15.75">
      <c r="A339" s="152" t="s">
        <v>27</v>
      </c>
      <c r="B339" s="237">
        <f>1000/60/100</f>
        <v>0.16666666666666669</v>
      </c>
      <c r="C339" s="218">
        <v>0</v>
      </c>
      <c r="D339" s="107">
        <v>120</v>
      </c>
      <c r="E339" s="107">
        <f>B339*D339*G344/1000+C339*D339*G342</f>
        <v>1000.0000000000002</v>
      </c>
      <c r="F339" s="209">
        <v>2</v>
      </c>
      <c r="G339" s="211">
        <v>3</v>
      </c>
      <c r="H339" s="111">
        <f>F339*I336+G339*H335</f>
        <v>188.59012634050379</v>
      </c>
      <c r="I339" s="167">
        <f>E339+H339*G342</f>
        <v>1188.590126340504</v>
      </c>
      <c r="J339" s="242"/>
      <c r="K339" s="242"/>
      <c r="L339" s="243"/>
      <c r="M339" s="243"/>
      <c r="N339" s="243"/>
      <c r="O339" s="243"/>
      <c r="P339" s="243"/>
      <c r="Q339" s="243"/>
      <c r="R339" s="243"/>
      <c r="S339" s="243"/>
    </row>
    <row r="340" spans="1:19" s="228" customFormat="1" ht="15.75">
      <c r="A340" s="152" t="s">
        <v>320</v>
      </c>
      <c r="B340" s="237">
        <f>1000/60/120</f>
        <v>0.1388888888888889</v>
      </c>
      <c r="C340" s="218">
        <v>0</v>
      </c>
      <c r="D340" s="107">
        <v>50</v>
      </c>
      <c r="E340" s="107">
        <f>B340*D340*G344/1000+C340*D340*G342</f>
        <v>347.22222222222223</v>
      </c>
      <c r="F340" s="209"/>
      <c r="G340" s="211"/>
      <c r="H340" s="111"/>
      <c r="I340" s="107">
        <f>E340+H340*G342</f>
        <v>347.22222222222223</v>
      </c>
      <c r="J340" s="242"/>
      <c r="K340" s="242"/>
      <c r="L340" s="243"/>
      <c r="M340" s="243"/>
      <c r="N340" s="243"/>
      <c r="O340" s="243"/>
      <c r="P340" s="243"/>
      <c r="Q340" s="243"/>
      <c r="R340" s="243"/>
      <c r="S340" s="243"/>
    </row>
    <row r="341" spans="1:19" s="228" customFormat="1" ht="24">
      <c r="A341" s="283" t="s">
        <v>41</v>
      </c>
      <c r="B341" s="284"/>
      <c r="C341" s="114" t="s">
        <v>42</v>
      </c>
      <c r="D341" s="114" t="s">
        <v>43</v>
      </c>
      <c r="E341" s="114" t="s">
        <v>44</v>
      </c>
      <c r="F341" s="238" t="s">
        <v>45</v>
      </c>
      <c r="G341" s="53" t="s">
        <v>46</v>
      </c>
      <c r="H341" s="115" t="s">
        <v>47</v>
      </c>
      <c r="I341" s="116">
        <f>SUM(I338:I340)</f>
        <v>1824.2888448526389</v>
      </c>
      <c r="J341" s="242"/>
      <c r="K341" s="242"/>
      <c r="L341" s="243"/>
      <c r="M341" s="243"/>
      <c r="N341" s="243"/>
      <c r="O341" s="243"/>
      <c r="P341" s="243"/>
      <c r="Q341" s="243"/>
      <c r="R341" s="243"/>
      <c r="S341" s="243"/>
    </row>
    <row r="342" spans="1:19" s="228" customFormat="1" ht="15">
      <c r="A342" s="285"/>
      <c r="B342" s="286"/>
      <c r="C342" s="181">
        <f>0.0074/3</f>
        <v>2.4666666666666669E-3</v>
      </c>
      <c r="D342" s="72">
        <v>0.9</v>
      </c>
      <c r="E342" s="117">
        <v>1.5E-3</v>
      </c>
      <c r="F342" s="225">
        <v>0.03</v>
      </c>
      <c r="G342" s="239">
        <v>1</v>
      </c>
      <c r="H342" s="289" t="s">
        <v>48</v>
      </c>
      <c r="I342" s="290" t="s">
        <v>49</v>
      </c>
      <c r="J342" s="242"/>
      <c r="K342" s="242"/>
      <c r="L342" s="243"/>
      <c r="M342" s="243"/>
      <c r="N342" s="243"/>
      <c r="O342" s="243"/>
      <c r="P342" s="243"/>
      <c r="Q342" s="243"/>
      <c r="R342" s="243"/>
      <c r="S342" s="243"/>
    </row>
    <row r="343" spans="1:19" s="228" customFormat="1" ht="24">
      <c r="A343" s="285"/>
      <c r="B343" s="286"/>
      <c r="C343" s="146" t="s">
        <v>214</v>
      </c>
      <c r="D343" s="44" t="s">
        <v>50</v>
      </c>
      <c r="E343" s="114" t="s">
        <v>51</v>
      </c>
      <c r="F343" s="115" t="s">
        <v>52</v>
      </c>
      <c r="G343" s="120" t="s">
        <v>53</v>
      </c>
      <c r="H343" s="289"/>
      <c r="I343" s="291"/>
      <c r="J343" s="242"/>
      <c r="K343" s="242"/>
      <c r="L343" s="243"/>
      <c r="M343" s="243"/>
      <c r="N343" s="243"/>
      <c r="O343" s="243"/>
      <c r="P343" s="243"/>
      <c r="Q343" s="243"/>
      <c r="R343" s="243"/>
      <c r="S343" s="243"/>
    </row>
    <row r="344" spans="1:19" s="228" customFormat="1" ht="18.75">
      <c r="A344" s="285"/>
      <c r="B344" s="286"/>
      <c r="C344" s="133">
        <f>300/200000*G344</f>
        <v>75</v>
      </c>
      <c r="D344" s="47">
        <v>0.06</v>
      </c>
      <c r="E344" s="76">
        <v>0</v>
      </c>
      <c r="F344" s="49">
        <v>0</v>
      </c>
      <c r="G344" s="50">
        <v>50000</v>
      </c>
      <c r="H344" s="121">
        <f>I341/G344+B336+B336*F342</f>
        <v>0.33776966755064725</v>
      </c>
      <c r="I344" s="179">
        <f>(H344/(1-D344)+C342+E342+E344/G344+C344/G344+C346*D346+D342*G336)*(1+F344)*(1+E346+F346)</f>
        <v>0.3988217881921734</v>
      </c>
      <c r="J344" s="242"/>
      <c r="K344" s="242"/>
      <c r="L344" s="243"/>
      <c r="M344" s="243"/>
      <c r="N344" s="243"/>
      <c r="O344" s="243"/>
      <c r="P344" s="243"/>
      <c r="Q344" s="243"/>
      <c r="R344" s="243"/>
      <c r="S344" s="243"/>
    </row>
    <row r="345" spans="1:19" s="228" customFormat="1" ht="15">
      <c r="A345" s="285"/>
      <c r="B345" s="286"/>
      <c r="C345" s="238" t="s">
        <v>54</v>
      </c>
      <c r="D345" s="238" t="s">
        <v>55</v>
      </c>
      <c r="E345" s="53" t="s">
        <v>56</v>
      </c>
      <c r="F345" s="53" t="s">
        <v>57</v>
      </c>
      <c r="G345" s="53" t="s">
        <v>58</v>
      </c>
      <c r="H345" s="240" t="s">
        <v>59</v>
      </c>
      <c r="I345" s="180" t="s">
        <v>60</v>
      </c>
      <c r="J345" s="242"/>
      <c r="K345" s="242"/>
      <c r="L345" s="243"/>
      <c r="M345" s="243"/>
      <c r="N345" s="243"/>
      <c r="O345" s="243"/>
      <c r="P345" s="243"/>
      <c r="Q345" s="243"/>
      <c r="R345" s="243"/>
      <c r="S345" s="243"/>
    </row>
    <row r="346" spans="1:19" s="228" customFormat="1" ht="18.75">
      <c r="A346" s="287"/>
      <c r="B346" s="288"/>
      <c r="C346" s="241">
        <v>1</v>
      </c>
      <c r="D346" s="223">
        <v>0.02</v>
      </c>
      <c r="E346" s="58">
        <f>0.7%</f>
        <v>6.9999999999999993E-3</v>
      </c>
      <c r="F346" s="58">
        <f>0.5%*3</f>
        <v>1.4999999999999999E-2</v>
      </c>
      <c r="G346" s="59">
        <v>0.15</v>
      </c>
      <c r="H346" s="121">
        <f>(H344+C342+E342+E344/G344+C344/G344+C346*D346+D342*G336)*(1+F344)*(1+E346+F346)</f>
        <v>0.37678770732599715</v>
      </c>
      <c r="I346" s="179">
        <f>I344+(I344-H346)*G346</f>
        <v>0.40212690032209986</v>
      </c>
      <c r="J346" s="242"/>
      <c r="K346" s="242"/>
      <c r="L346" s="243"/>
      <c r="M346" s="243"/>
      <c r="N346" s="243"/>
      <c r="O346" s="243"/>
      <c r="P346" s="243"/>
      <c r="Q346" s="243"/>
      <c r="R346" s="243"/>
      <c r="S346" s="243"/>
    </row>
    <row r="347" spans="1:19" ht="25.5">
      <c r="A347" s="322" t="s">
        <v>0</v>
      </c>
      <c r="B347" s="322"/>
      <c r="C347" s="322"/>
      <c r="D347" s="322"/>
      <c r="E347" s="322"/>
      <c r="F347" s="322"/>
      <c r="G347" s="322"/>
      <c r="H347" s="322"/>
      <c r="I347" s="322"/>
    </row>
    <row r="348" spans="1:19" ht="25.5">
      <c r="A348" s="147"/>
      <c r="B348" s="182"/>
      <c r="C348" s="182"/>
      <c r="D348" s="182"/>
      <c r="E348" s="182"/>
      <c r="F348" s="182"/>
      <c r="G348" s="182"/>
      <c r="H348" s="175" t="s">
        <v>2</v>
      </c>
      <c r="I348" s="176" t="s">
        <v>184</v>
      </c>
    </row>
    <row r="349" spans="1:19">
      <c r="A349" s="151" t="s">
        <v>5</v>
      </c>
      <c r="B349" s="323"/>
      <c r="C349" s="324"/>
      <c r="D349" s="324"/>
      <c r="E349" s="324"/>
      <c r="F349" s="325"/>
      <c r="G349" s="151" t="s">
        <v>6</v>
      </c>
      <c r="H349" s="296">
        <v>45167</v>
      </c>
      <c r="I349" s="297"/>
    </row>
    <row r="350" spans="1:19" ht="15.75">
      <c r="A350" s="151" t="s">
        <v>8</v>
      </c>
      <c r="B350" s="303" t="s">
        <v>220</v>
      </c>
      <c r="C350" s="304"/>
      <c r="D350" s="304"/>
      <c r="E350" s="304"/>
      <c r="F350" s="305"/>
      <c r="G350" s="151" t="s">
        <v>10</v>
      </c>
      <c r="H350" s="299" t="s">
        <v>324</v>
      </c>
      <c r="I350" s="299"/>
    </row>
    <row r="351" spans="1:19">
      <c r="A351" s="334" t="s">
        <v>12</v>
      </c>
      <c r="B351" s="334" t="s">
        <v>13</v>
      </c>
      <c r="C351" s="300" t="s">
        <v>14</v>
      </c>
      <c r="D351" s="300"/>
      <c r="E351" s="300"/>
      <c r="F351" s="300"/>
      <c r="G351" s="151" t="s">
        <v>15</v>
      </c>
      <c r="H351" s="151" t="s">
        <v>16</v>
      </c>
      <c r="I351" s="151" t="s">
        <v>17</v>
      </c>
    </row>
    <row r="352" spans="1:19" ht="15.75">
      <c r="A352" s="334"/>
      <c r="B352" s="334"/>
      <c r="C352" s="300"/>
      <c r="D352" s="300"/>
      <c r="E352" s="300"/>
      <c r="F352" s="300"/>
      <c r="G352" s="151" t="s">
        <v>18</v>
      </c>
      <c r="H352" s="153" t="s">
        <v>19</v>
      </c>
      <c r="I352" s="153" t="s">
        <v>20</v>
      </c>
    </row>
    <row r="353" spans="1:11" ht="15.75">
      <c r="A353" s="154" t="s">
        <v>21</v>
      </c>
      <c r="B353" s="151" t="s">
        <v>22</v>
      </c>
      <c r="C353" s="281" t="s">
        <v>239</v>
      </c>
      <c r="D353" s="281"/>
      <c r="E353" s="281"/>
      <c r="F353" s="281"/>
      <c r="G353" s="155">
        <f>0.253^2*0.7854*8.89*1.015/10*26</f>
        <v>1.1794324989507059</v>
      </c>
      <c r="H353" s="10">
        <f>(J353+1300)/1.13/1000+3.79</f>
        <v>66.887345132743377</v>
      </c>
      <c r="I353" s="156">
        <f>G353*H353</f>
        <v>78.88910861808985</v>
      </c>
      <c r="J353" s="134">
        <v>70000</v>
      </c>
    </row>
    <row r="354" spans="1:11" ht="17.25">
      <c r="A354" s="154">
        <v>2</v>
      </c>
      <c r="B354" s="151" t="s">
        <v>27</v>
      </c>
      <c r="C354" s="281" t="s">
        <v>319</v>
      </c>
      <c r="D354" s="281"/>
      <c r="E354" s="281"/>
      <c r="F354" s="281"/>
      <c r="G354" s="155">
        <f>(2.43^2-1.49^2*0.85)*0.7854*1.4/10</f>
        <v>0.44178286613999995</v>
      </c>
      <c r="H354" s="13">
        <v>43.3628</v>
      </c>
      <c r="I354" s="156">
        <f>G354*H354</f>
        <v>19.156942067855589</v>
      </c>
    </row>
    <row r="355" spans="1:11" ht="15.75">
      <c r="A355" s="177" t="s">
        <v>29</v>
      </c>
      <c r="B355" s="97">
        <f>I355/100</f>
        <v>0.98046050685945429</v>
      </c>
      <c r="C355" s="331"/>
      <c r="D355" s="331"/>
      <c r="E355" s="331"/>
      <c r="F355" s="331"/>
      <c r="G355" s="97">
        <f>SUM(G353:G354)/100</f>
        <v>1.6212153650907061E-2</v>
      </c>
      <c r="H355" s="99" t="s">
        <v>31</v>
      </c>
      <c r="I355" s="100">
        <f>SUM(I353:I354)</f>
        <v>98.046050685945431</v>
      </c>
      <c r="J355" s="66">
        <f>B355/I365</f>
        <v>0.8205689646570451</v>
      </c>
      <c r="K355" s="78">
        <f>G355*G363</f>
        <v>810.6076825453531</v>
      </c>
    </row>
    <row r="356" spans="1:11" ht="36">
      <c r="A356" s="162" t="s">
        <v>13</v>
      </c>
      <c r="B356" s="163" t="s">
        <v>32</v>
      </c>
      <c r="C356" s="163" t="s">
        <v>33</v>
      </c>
      <c r="D356" s="162" t="s">
        <v>34</v>
      </c>
      <c r="E356" s="162" t="s">
        <v>35</v>
      </c>
      <c r="F356" s="163" t="s">
        <v>36</v>
      </c>
      <c r="G356" s="163" t="s">
        <v>37</v>
      </c>
      <c r="H356" s="164" t="s">
        <v>38</v>
      </c>
      <c r="I356" s="162" t="s">
        <v>39</v>
      </c>
    </row>
    <row r="357" spans="1:11" ht="15.75">
      <c r="A357" s="104" t="s">
        <v>22</v>
      </c>
      <c r="B357" s="204">
        <v>0.25</v>
      </c>
      <c r="C357" s="166">
        <v>0</v>
      </c>
      <c r="D357" s="107">
        <v>30</v>
      </c>
      <c r="E357" s="107">
        <f>B357*D357*G363/1000+C357*D357*G361</f>
        <v>375</v>
      </c>
      <c r="F357" s="209">
        <v>1</v>
      </c>
      <c r="G357" s="224">
        <v>0</v>
      </c>
      <c r="H357" s="111">
        <f>F357*I353</f>
        <v>78.88910861808985</v>
      </c>
      <c r="I357" s="112">
        <f>E357+H357*G361</f>
        <v>453.88910861808984</v>
      </c>
    </row>
    <row r="358" spans="1:11" ht="15.75">
      <c r="A358" s="151" t="s">
        <v>27</v>
      </c>
      <c r="B358" s="204">
        <f>1000/60/120</f>
        <v>0.1388888888888889</v>
      </c>
      <c r="C358" s="166">
        <v>0</v>
      </c>
      <c r="D358" s="107">
        <v>140</v>
      </c>
      <c r="E358" s="107">
        <f>B358*D358*G363/1000+C358*D358*G361</f>
        <v>972.2222222222224</v>
      </c>
      <c r="F358" s="209">
        <v>2</v>
      </c>
      <c r="G358" s="211">
        <v>3</v>
      </c>
      <c r="H358" s="111">
        <f>F358*I355+G358*H354</f>
        <v>326.18050137189084</v>
      </c>
      <c r="I358" s="112">
        <f>E358+H358*G361</f>
        <v>1298.4027235941132</v>
      </c>
    </row>
    <row r="359" spans="1:11" ht="15.75">
      <c r="A359" s="151" t="s">
        <v>320</v>
      </c>
      <c r="B359" s="204">
        <f>1000/60/120</f>
        <v>0.1388888888888889</v>
      </c>
      <c r="C359" s="166">
        <v>0</v>
      </c>
      <c r="D359" s="107">
        <v>50</v>
      </c>
      <c r="E359" s="107">
        <f>B359*D359*G363/1000+C359*D359*G361</f>
        <v>347.22222222222223</v>
      </c>
      <c r="F359" s="209"/>
      <c r="G359" s="211"/>
      <c r="H359" s="111"/>
      <c r="I359" s="226">
        <f>E359+H359*G361</f>
        <v>347.22222222222223</v>
      </c>
    </row>
    <row r="360" spans="1:11" ht="24">
      <c r="A360" s="283" t="s">
        <v>41</v>
      </c>
      <c r="B360" s="284"/>
      <c r="C360" s="114" t="s">
        <v>42</v>
      </c>
      <c r="D360" s="114" t="s">
        <v>43</v>
      </c>
      <c r="E360" s="114" t="s">
        <v>44</v>
      </c>
      <c r="F360" s="36" t="s">
        <v>45</v>
      </c>
      <c r="G360" s="37" t="s">
        <v>46</v>
      </c>
      <c r="H360" s="115" t="s">
        <v>47</v>
      </c>
      <c r="I360" s="116">
        <f>SUM(I357:I359)</f>
        <v>2099.5140544344254</v>
      </c>
    </row>
    <row r="361" spans="1:11" ht="15">
      <c r="A361" s="285"/>
      <c r="B361" s="286"/>
      <c r="C361" s="181">
        <f>0.0074/3</f>
        <v>2.4666666666666669E-3</v>
      </c>
      <c r="D361" s="72">
        <v>0.9</v>
      </c>
      <c r="E361" s="117">
        <v>1.5E-3</v>
      </c>
      <c r="F361" s="225">
        <v>0.03</v>
      </c>
      <c r="G361" s="119">
        <v>1</v>
      </c>
      <c r="H361" s="289" t="s">
        <v>48</v>
      </c>
      <c r="I361" s="272" t="s">
        <v>49</v>
      </c>
    </row>
    <row r="362" spans="1:11" ht="24">
      <c r="A362" s="285"/>
      <c r="B362" s="286"/>
      <c r="C362" s="132" t="s">
        <v>214</v>
      </c>
      <c r="D362" s="44" t="s">
        <v>50</v>
      </c>
      <c r="E362" s="114" t="s">
        <v>51</v>
      </c>
      <c r="F362" s="115" t="s">
        <v>52</v>
      </c>
      <c r="G362" s="120" t="s">
        <v>53</v>
      </c>
      <c r="H362" s="289"/>
      <c r="I362" s="273"/>
    </row>
    <row r="363" spans="1:11" ht="18.75">
      <c r="A363" s="285"/>
      <c r="B363" s="286"/>
      <c r="C363" s="133">
        <f>300/200000*G363</f>
        <v>75</v>
      </c>
      <c r="D363" s="47">
        <v>0.06</v>
      </c>
      <c r="E363" s="76">
        <v>0</v>
      </c>
      <c r="F363" s="49">
        <v>0</v>
      </c>
      <c r="G363" s="50">
        <v>50000</v>
      </c>
      <c r="H363" s="121">
        <f>I360/G363+B355+B355*F361</f>
        <v>1.0518646031539265</v>
      </c>
      <c r="I363" s="179">
        <f>(H363/(1-D363)+C361+E361+E363/G363+C363/G363+C365*D365+D361*G355)*(1+F363)*(1+E365+F365)</f>
        <v>1.1845618769670896</v>
      </c>
    </row>
    <row r="364" spans="1:11">
      <c r="A364" s="285"/>
      <c r="B364" s="286"/>
      <c r="C364" s="36" t="s">
        <v>54</v>
      </c>
      <c r="D364" s="36" t="s">
        <v>55</v>
      </c>
      <c r="E364" s="53" t="s">
        <v>56</v>
      </c>
      <c r="F364" s="53" t="s">
        <v>57</v>
      </c>
      <c r="G364" s="53" t="s">
        <v>58</v>
      </c>
      <c r="H364" s="54" t="s">
        <v>59</v>
      </c>
      <c r="I364" s="180" t="s">
        <v>60</v>
      </c>
    </row>
    <row r="365" spans="1:11" ht="18.75">
      <c r="A365" s="287"/>
      <c r="B365" s="288"/>
      <c r="C365" s="56">
        <v>1</v>
      </c>
      <c r="D365" s="223">
        <v>0.02</v>
      </c>
      <c r="E365" s="58">
        <f>0.7%</f>
        <v>6.9999999999999993E-3</v>
      </c>
      <c r="F365" s="58">
        <f>0.5%*3</f>
        <v>1.4999999999999999E-2</v>
      </c>
      <c r="G365" s="59">
        <v>0.15</v>
      </c>
      <c r="H365" s="121">
        <f>(H363+C361+E361+E363/G363+C363/G363+C365*D365+D361*G355)*(1+F363)*(1+E365+F365)</f>
        <v>1.1159444966847503</v>
      </c>
      <c r="I365" s="179">
        <f>I363+(I363-H365)*G365</f>
        <v>1.1948544840094404</v>
      </c>
    </row>
    <row r="366" spans="1:11" ht="25.5">
      <c r="A366" s="322" t="s">
        <v>0</v>
      </c>
      <c r="B366" s="322"/>
      <c r="C366" s="322"/>
      <c r="D366" s="322"/>
      <c r="E366" s="322"/>
      <c r="F366" s="322"/>
      <c r="G366" s="322"/>
      <c r="H366" s="322"/>
      <c r="I366" s="322"/>
    </row>
    <row r="367" spans="1:11" ht="25.5">
      <c r="A367" s="147"/>
      <c r="B367" s="182"/>
      <c r="C367" s="182"/>
      <c r="D367" s="182"/>
      <c r="E367" s="182"/>
      <c r="F367" s="182"/>
      <c r="G367" s="182"/>
      <c r="H367" s="175" t="s">
        <v>2</v>
      </c>
      <c r="I367" s="176" t="s">
        <v>190</v>
      </c>
    </row>
    <row r="368" spans="1:11">
      <c r="A368" s="151" t="s">
        <v>5</v>
      </c>
      <c r="B368" s="323"/>
      <c r="C368" s="324"/>
      <c r="D368" s="324"/>
      <c r="E368" s="324"/>
      <c r="F368" s="325"/>
      <c r="G368" s="151" t="s">
        <v>6</v>
      </c>
      <c r="H368" s="296">
        <v>45167</v>
      </c>
      <c r="I368" s="297"/>
    </row>
    <row r="369" spans="1:11" ht="15.75">
      <c r="A369" s="151" t="s">
        <v>8</v>
      </c>
      <c r="B369" s="298" t="s">
        <v>224</v>
      </c>
      <c r="C369" s="298"/>
      <c r="D369" s="298"/>
      <c r="E369" s="298"/>
      <c r="F369" s="298"/>
      <c r="G369" s="151" t="s">
        <v>10</v>
      </c>
      <c r="H369" s="299" t="s">
        <v>326</v>
      </c>
      <c r="I369" s="299"/>
    </row>
    <row r="370" spans="1:11">
      <c r="A370" s="334" t="s">
        <v>12</v>
      </c>
      <c r="B370" s="334" t="s">
        <v>13</v>
      </c>
      <c r="C370" s="300" t="s">
        <v>14</v>
      </c>
      <c r="D370" s="300"/>
      <c r="E370" s="300"/>
      <c r="F370" s="300"/>
      <c r="G370" s="151" t="s">
        <v>15</v>
      </c>
      <c r="H370" s="151" t="s">
        <v>16</v>
      </c>
      <c r="I370" s="151" t="s">
        <v>17</v>
      </c>
    </row>
    <row r="371" spans="1:11" ht="15.75">
      <c r="A371" s="334"/>
      <c r="B371" s="334"/>
      <c r="C371" s="300"/>
      <c r="D371" s="300"/>
      <c r="E371" s="300"/>
      <c r="F371" s="300"/>
      <c r="G371" s="151" t="s">
        <v>18</v>
      </c>
      <c r="H371" s="153" t="s">
        <v>19</v>
      </c>
      <c r="I371" s="153" t="s">
        <v>20</v>
      </c>
    </row>
    <row r="372" spans="1:11" ht="15.75">
      <c r="A372" s="154" t="s">
        <v>21</v>
      </c>
      <c r="B372" s="151" t="s">
        <v>22</v>
      </c>
      <c r="C372" s="281" t="s">
        <v>321</v>
      </c>
      <c r="D372" s="281"/>
      <c r="E372" s="281"/>
      <c r="F372" s="281"/>
      <c r="G372" s="155">
        <f>0.158^2*0.7854*8.89*1.015*17/10</f>
        <v>0.30076119065269197</v>
      </c>
      <c r="H372" s="10">
        <f>(J372+1300)/1.13/1000+4.49</f>
        <v>67.587345132743366</v>
      </c>
      <c r="I372" s="156">
        <f>G372*H372</f>
        <v>20.327650395178321</v>
      </c>
      <c r="J372" s="134">
        <v>70000</v>
      </c>
    </row>
    <row r="373" spans="1:11" ht="17.25">
      <c r="A373" s="154">
        <v>2</v>
      </c>
      <c r="B373" s="151" t="s">
        <v>27</v>
      </c>
      <c r="C373" s="281" t="s">
        <v>327</v>
      </c>
      <c r="D373" s="281"/>
      <c r="E373" s="281"/>
      <c r="F373" s="281"/>
      <c r="G373" s="155">
        <f>(1.63^2-0.74^2*0.85)*0.7854*1.4/10</f>
        <v>0.24096197664000002</v>
      </c>
      <c r="H373" s="13">
        <v>43.3628</v>
      </c>
      <c r="I373" s="156">
        <f>G373*H373</f>
        <v>10.448786000644994</v>
      </c>
    </row>
    <row r="374" spans="1:11" ht="15.75">
      <c r="A374" s="177" t="s">
        <v>29</v>
      </c>
      <c r="B374" s="97">
        <f>I374/100</f>
        <v>0.30776436395823314</v>
      </c>
      <c r="C374" s="331"/>
      <c r="D374" s="331"/>
      <c r="E374" s="331"/>
      <c r="F374" s="331"/>
      <c r="G374" s="97">
        <f>SUM(G372:G373)/100</f>
        <v>5.4172316729269197E-3</v>
      </c>
      <c r="H374" s="99" t="s">
        <v>31</v>
      </c>
      <c r="I374" s="100">
        <f>SUM(I372:I373)</f>
        <v>30.776436395823314</v>
      </c>
      <c r="J374" s="66">
        <f>B374/I384</f>
        <v>0.74618261663148111</v>
      </c>
      <c r="K374" s="78">
        <f>G374*G382</f>
        <v>270.86158364634599</v>
      </c>
    </row>
    <row r="375" spans="1:11" ht="36">
      <c r="A375" s="162" t="s">
        <v>13</v>
      </c>
      <c r="B375" s="163" t="s">
        <v>32</v>
      </c>
      <c r="C375" s="163" t="s">
        <v>33</v>
      </c>
      <c r="D375" s="162" t="s">
        <v>34</v>
      </c>
      <c r="E375" s="162" t="s">
        <v>35</v>
      </c>
      <c r="F375" s="163" t="s">
        <v>36</v>
      </c>
      <c r="G375" s="163" t="s">
        <v>37</v>
      </c>
      <c r="H375" s="164" t="s">
        <v>38</v>
      </c>
      <c r="I375" s="162" t="s">
        <v>39</v>
      </c>
    </row>
    <row r="376" spans="1:11" ht="15.75">
      <c r="A376" s="104" t="s">
        <v>22</v>
      </c>
      <c r="B376" s="204">
        <v>0.28599999999999998</v>
      </c>
      <c r="C376" s="166">
        <v>0</v>
      </c>
      <c r="D376" s="107">
        <v>10</v>
      </c>
      <c r="E376" s="107">
        <f>B376*D376*G382/1000+C376*D376*G380</f>
        <v>143</v>
      </c>
      <c r="F376" s="209">
        <v>1</v>
      </c>
      <c r="G376" s="224">
        <v>0</v>
      </c>
      <c r="H376" s="111">
        <f>F376*I372</f>
        <v>20.327650395178321</v>
      </c>
      <c r="I376" s="112">
        <f>E376+H376*G380</f>
        <v>163.32765039517832</v>
      </c>
    </row>
    <row r="377" spans="1:11" ht="15.75">
      <c r="A377" s="151" t="s">
        <v>27</v>
      </c>
      <c r="B377" s="204">
        <f>1000/60/120</f>
        <v>0.1388888888888889</v>
      </c>
      <c r="C377" s="166">
        <v>0</v>
      </c>
      <c r="D377" s="107">
        <v>120</v>
      </c>
      <c r="E377" s="107">
        <f>B377*D377*G382/1000+C377*D377*G380</f>
        <v>833.33333333333337</v>
      </c>
      <c r="F377" s="209">
        <v>2</v>
      </c>
      <c r="G377" s="211">
        <v>3</v>
      </c>
      <c r="H377" s="111">
        <f>F377*I374+G377*H373</f>
        <v>191.64127279164663</v>
      </c>
      <c r="I377" s="112">
        <f>E377+H377*G380</f>
        <v>1024.97460612498</v>
      </c>
    </row>
    <row r="378" spans="1:11" ht="15.75">
      <c r="A378" s="151" t="s">
        <v>320</v>
      </c>
      <c r="B378" s="204">
        <f>1000/60/120</f>
        <v>0.1388888888888889</v>
      </c>
      <c r="C378" s="166">
        <v>0</v>
      </c>
      <c r="D378" s="107">
        <v>50</v>
      </c>
      <c r="E378" s="107">
        <f>B378*D378*G382/1000+C378*D378*G380</f>
        <v>347.22222222222223</v>
      </c>
      <c r="F378" s="209"/>
      <c r="G378" s="211"/>
      <c r="H378" s="111"/>
      <c r="I378" s="226">
        <f>E378+H378*G380</f>
        <v>347.22222222222223</v>
      </c>
    </row>
    <row r="379" spans="1:11" ht="24">
      <c r="A379" s="283" t="s">
        <v>41</v>
      </c>
      <c r="B379" s="284"/>
      <c r="C379" s="114" t="s">
        <v>42</v>
      </c>
      <c r="D379" s="114" t="s">
        <v>43</v>
      </c>
      <c r="E379" s="114" t="s">
        <v>44</v>
      </c>
      <c r="F379" s="36" t="s">
        <v>45</v>
      </c>
      <c r="G379" s="37" t="s">
        <v>46</v>
      </c>
      <c r="H379" s="115" t="s">
        <v>47</v>
      </c>
      <c r="I379" s="116">
        <f>SUM(I376:I378)</f>
        <v>1535.5244787423806</v>
      </c>
    </row>
    <row r="380" spans="1:11" ht="15">
      <c r="A380" s="285"/>
      <c r="B380" s="286"/>
      <c r="C380" s="181">
        <f>0.0074/3</f>
        <v>2.4666666666666669E-3</v>
      </c>
      <c r="D380" s="72">
        <v>0.9</v>
      </c>
      <c r="E380" s="117">
        <v>1.5E-3</v>
      </c>
      <c r="F380" s="225">
        <v>0.03</v>
      </c>
      <c r="G380" s="119">
        <v>1</v>
      </c>
      <c r="H380" s="289" t="s">
        <v>48</v>
      </c>
      <c r="I380" s="272" t="s">
        <v>49</v>
      </c>
    </row>
    <row r="381" spans="1:11" ht="24">
      <c r="A381" s="285"/>
      <c r="B381" s="286"/>
      <c r="C381" s="132" t="s">
        <v>214</v>
      </c>
      <c r="D381" s="44" t="s">
        <v>50</v>
      </c>
      <c r="E381" s="114" t="s">
        <v>51</v>
      </c>
      <c r="F381" s="115" t="s">
        <v>52</v>
      </c>
      <c r="G381" s="120" t="s">
        <v>53</v>
      </c>
      <c r="H381" s="289"/>
      <c r="I381" s="273"/>
    </row>
    <row r="382" spans="1:11" ht="18.75">
      <c r="A382" s="285"/>
      <c r="B382" s="286"/>
      <c r="C382" s="133">
        <f>300/200000*G382</f>
        <v>75</v>
      </c>
      <c r="D382" s="47">
        <v>0.06</v>
      </c>
      <c r="E382" s="76">
        <v>0</v>
      </c>
      <c r="F382" s="49">
        <v>0</v>
      </c>
      <c r="G382" s="50">
        <v>50000</v>
      </c>
      <c r="H382" s="121">
        <f>I379/G382+B374+B374*F380</f>
        <v>0.34770778445182776</v>
      </c>
      <c r="I382" s="179">
        <f>(H382/(1-D382)+C380+E380+E382/G382+C382/G382+C384*D384+D380*G374)*(1+F382)*(1+E384+F384)</f>
        <v>0.40904944314286595</v>
      </c>
    </row>
    <row r="383" spans="1:11">
      <c r="A383" s="285"/>
      <c r="B383" s="286"/>
      <c r="C383" s="36" t="s">
        <v>54</v>
      </c>
      <c r="D383" s="36" t="s">
        <v>55</v>
      </c>
      <c r="E383" s="53" t="s">
        <v>56</v>
      </c>
      <c r="F383" s="53" t="s">
        <v>57</v>
      </c>
      <c r="G383" s="53" t="s">
        <v>58</v>
      </c>
      <c r="H383" s="54" t="s">
        <v>59</v>
      </c>
      <c r="I383" s="180" t="s">
        <v>60</v>
      </c>
    </row>
    <row r="384" spans="1:11" ht="18.75">
      <c r="A384" s="287"/>
      <c r="B384" s="288"/>
      <c r="C384" s="56">
        <v>1</v>
      </c>
      <c r="D384" s="223">
        <v>0.02</v>
      </c>
      <c r="E384" s="58">
        <f>0.7%</f>
        <v>6.9999999999999993E-3</v>
      </c>
      <c r="F384" s="58">
        <f>0.5%*3</f>
        <v>1.4999999999999999E-2</v>
      </c>
      <c r="G384" s="59">
        <v>0.15</v>
      </c>
      <c r="H384" s="121">
        <f>(H382+C380+E380+E382/G382+C382/G382+C384*D384+D380*G374)*(1+F382)*(1+E384+F384)</f>
        <v>0.38636705873585941</v>
      </c>
      <c r="I384" s="179">
        <f>I382+(I382-H384)*G384</f>
        <v>0.41245180080391691</v>
      </c>
    </row>
    <row r="385" spans="1:11" ht="25.5">
      <c r="A385" s="322" t="s">
        <v>0</v>
      </c>
      <c r="B385" s="322"/>
      <c r="C385" s="322"/>
      <c r="D385" s="322"/>
      <c r="E385" s="322"/>
      <c r="F385" s="322"/>
      <c r="G385" s="322"/>
      <c r="H385" s="322"/>
      <c r="I385" s="322"/>
    </row>
    <row r="386" spans="1:11" ht="25.5">
      <c r="A386" s="147"/>
      <c r="B386" s="182"/>
      <c r="C386" s="182"/>
      <c r="D386" s="182"/>
      <c r="E386" s="182"/>
      <c r="F386" s="182"/>
      <c r="G386" s="182"/>
      <c r="H386" s="175" t="s">
        <v>2</v>
      </c>
      <c r="I386" s="176" t="s">
        <v>200</v>
      </c>
    </row>
    <row r="387" spans="1:11">
      <c r="A387" s="151" t="s">
        <v>5</v>
      </c>
      <c r="B387" s="323" t="s">
        <v>322</v>
      </c>
      <c r="C387" s="324"/>
      <c r="D387" s="324"/>
      <c r="E387" s="324"/>
      <c r="F387" s="325"/>
      <c r="G387" s="151" t="s">
        <v>6</v>
      </c>
      <c r="H387" s="296">
        <v>45167</v>
      </c>
      <c r="I387" s="297"/>
    </row>
    <row r="388" spans="1:11" ht="15.75">
      <c r="A388" s="151" t="s">
        <v>8</v>
      </c>
      <c r="B388" s="298" t="s">
        <v>229</v>
      </c>
      <c r="C388" s="298"/>
      <c r="D388" s="298"/>
      <c r="E388" s="298"/>
      <c r="F388" s="298"/>
      <c r="G388" s="151" t="s">
        <v>10</v>
      </c>
      <c r="H388" s="299" t="s">
        <v>329</v>
      </c>
      <c r="I388" s="299"/>
    </row>
    <row r="389" spans="1:11">
      <c r="A389" s="334" t="s">
        <v>12</v>
      </c>
      <c r="B389" s="334" t="s">
        <v>13</v>
      </c>
      <c r="C389" s="300" t="s">
        <v>14</v>
      </c>
      <c r="D389" s="300"/>
      <c r="E389" s="300"/>
      <c r="F389" s="300"/>
      <c r="G389" s="151" t="s">
        <v>15</v>
      </c>
      <c r="H389" s="151" t="s">
        <v>16</v>
      </c>
      <c r="I389" s="151" t="s">
        <v>17</v>
      </c>
    </row>
    <row r="390" spans="1:11" ht="15.75">
      <c r="A390" s="334"/>
      <c r="B390" s="334"/>
      <c r="C390" s="300"/>
      <c r="D390" s="300"/>
      <c r="E390" s="300"/>
      <c r="F390" s="300"/>
      <c r="G390" s="151" t="s">
        <v>18</v>
      </c>
      <c r="H390" s="153" t="s">
        <v>19</v>
      </c>
      <c r="I390" s="153" t="s">
        <v>20</v>
      </c>
    </row>
    <row r="391" spans="1:11" ht="15.75">
      <c r="A391" s="154" t="s">
        <v>21</v>
      </c>
      <c r="B391" s="151" t="s">
        <v>22</v>
      </c>
      <c r="C391" s="281" t="s">
        <v>229</v>
      </c>
      <c r="D391" s="281"/>
      <c r="E391" s="281"/>
      <c r="F391" s="281"/>
      <c r="G391" s="155">
        <f>0.159^2*0.7854*8.89*1.015*7/10</f>
        <v>0.12541543499400298</v>
      </c>
      <c r="H391" s="10">
        <f>(J391+1300)/1.13/1000+4.49</f>
        <v>67.587345132743366</v>
      </c>
      <c r="I391" s="156">
        <f>G391*H391</f>
        <v>8.47649628991282</v>
      </c>
      <c r="J391" s="134">
        <v>70000</v>
      </c>
    </row>
    <row r="392" spans="1:11" ht="17.25">
      <c r="A392" s="154">
        <v>2</v>
      </c>
      <c r="B392" s="151" t="s">
        <v>27</v>
      </c>
      <c r="C392" s="281" t="s">
        <v>330</v>
      </c>
      <c r="D392" s="281"/>
      <c r="E392" s="281"/>
      <c r="F392" s="281"/>
      <c r="G392" s="155">
        <f>(1.33^2-0.46^2*0.85)*0.7854*1.4/10</f>
        <v>0.17472448224000003</v>
      </c>
      <c r="H392" s="13">
        <v>43.3628</v>
      </c>
      <c r="I392" s="156">
        <f>G392*H392</f>
        <v>7.5765427784766732</v>
      </c>
    </row>
    <row r="393" spans="1:11" ht="15.75">
      <c r="A393" s="177" t="s">
        <v>29</v>
      </c>
      <c r="B393" s="97">
        <f>I393/100</f>
        <v>0.16053039068389496</v>
      </c>
      <c r="C393" s="331"/>
      <c r="D393" s="331"/>
      <c r="E393" s="331"/>
      <c r="F393" s="331"/>
      <c r="G393" s="97">
        <f>SUM(G391:G392)/100</f>
        <v>3.0013991723400303E-3</v>
      </c>
      <c r="H393" s="99" t="s">
        <v>31</v>
      </c>
      <c r="I393" s="100">
        <f>SUM(I391:I392)</f>
        <v>16.053039068389495</v>
      </c>
      <c r="J393" s="66">
        <f>B393/I403</f>
        <v>0.64834407081548062</v>
      </c>
      <c r="K393" s="78">
        <f>G393*G401</f>
        <v>150.0699586170015</v>
      </c>
    </row>
    <row r="394" spans="1:11" ht="36">
      <c r="A394" s="162" t="s">
        <v>13</v>
      </c>
      <c r="B394" s="163" t="s">
        <v>32</v>
      </c>
      <c r="C394" s="163" t="s">
        <v>33</v>
      </c>
      <c r="D394" s="162" t="s">
        <v>34</v>
      </c>
      <c r="E394" s="162" t="s">
        <v>35</v>
      </c>
      <c r="F394" s="163" t="s">
        <v>36</v>
      </c>
      <c r="G394" s="163" t="s">
        <v>37</v>
      </c>
      <c r="H394" s="164" t="s">
        <v>38</v>
      </c>
      <c r="I394" s="162" t="s">
        <v>39</v>
      </c>
    </row>
    <row r="395" spans="1:11" ht="15.75">
      <c r="A395" s="104" t="s">
        <v>22</v>
      </c>
      <c r="B395" s="204">
        <v>0.4</v>
      </c>
      <c r="C395" s="166">
        <v>0</v>
      </c>
      <c r="D395" s="107">
        <v>14</v>
      </c>
      <c r="E395" s="107">
        <f>B395*D395*G401/1000+C395*D395*G399</f>
        <v>280</v>
      </c>
      <c r="F395" s="209">
        <v>1</v>
      </c>
      <c r="G395" s="224">
        <v>0</v>
      </c>
      <c r="H395" s="111">
        <f>F395*I391</f>
        <v>8.47649628991282</v>
      </c>
      <c r="I395" s="112">
        <f>E395+H395*G399</f>
        <v>288.4764962899128</v>
      </c>
    </row>
    <row r="396" spans="1:11" ht="15.75">
      <c r="A396" s="151" t="s">
        <v>27</v>
      </c>
      <c r="B396" s="204">
        <f>1000/60/120</f>
        <v>0.1388888888888889</v>
      </c>
      <c r="C396" s="166">
        <v>0</v>
      </c>
      <c r="D396" s="107">
        <v>120</v>
      </c>
      <c r="E396" s="107">
        <f>B396*D396*G401/1000+C396*D396*G399</f>
        <v>833.33333333333337</v>
      </c>
      <c r="F396" s="209">
        <v>2</v>
      </c>
      <c r="G396" s="211">
        <v>3</v>
      </c>
      <c r="H396" s="111">
        <f>F396*I393+G396*H392</f>
        <v>162.194478136779</v>
      </c>
      <c r="I396" s="112">
        <f>E396+H396*G399</f>
        <v>995.5278114701124</v>
      </c>
    </row>
    <row r="397" spans="1:11" ht="15.75">
      <c r="A397" s="151" t="s">
        <v>320</v>
      </c>
      <c r="B397" s="204">
        <f>1000/60/120</f>
        <v>0.1388888888888889</v>
      </c>
      <c r="C397" s="166">
        <v>0</v>
      </c>
      <c r="D397" s="107">
        <v>50</v>
      </c>
      <c r="E397" s="107">
        <f>B397*D397*G401/1000+C397*D397*G399</f>
        <v>347.22222222222223</v>
      </c>
      <c r="F397" s="209"/>
      <c r="G397" s="211"/>
      <c r="H397" s="111"/>
      <c r="I397" s="226">
        <f>E397+H397*G399</f>
        <v>347.22222222222223</v>
      </c>
    </row>
    <row r="398" spans="1:11" ht="24">
      <c r="A398" s="283" t="s">
        <v>41</v>
      </c>
      <c r="B398" s="284"/>
      <c r="C398" s="114" t="s">
        <v>42</v>
      </c>
      <c r="D398" s="114" t="s">
        <v>43</v>
      </c>
      <c r="E398" s="114" t="s">
        <v>44</v>
      </c>
      <c r="F398" s="36" t="s">
        <v>45</v>
      </c>
      <c r="G398" s="37" t="s">
        <v>46</v>
      </c>
      <c r="H398" s="115" t="s">
        <v>47</v>
      </c>
      <c r="I398" s="116">
        <f>SUM(I395:I397)</f>
        <v>1631.2265299822475</v>
      </c>
    </row>
    <row r="399" spans="1:11" ht="15">
      <c r="A399" s="285"/>
      <c r="B399" s="286"/>
      <c r="C399" s="181">
        <f>0.0074/3</f>
        <v>2.4666666666666669E-3</v>
      </c>
      <c r="D399" s="72">
        <v>0.9</v>
      </c>
      <c r="E399" s="117">
        <v>3.0999999999999999E-3</v>
      </c>
      <c r="F399" s="225">
        <v>0.03</v>
      </c>
      <c r="G399" s="119">
        <v>1</v>
      </c>
      <c r="H399" s="289" t="s">
        <v>48</v>
      </c>
      <c r="I399" s="272" t="s">
        <v>49</v>
      </c>
    </row>
    <row r="400" spans="1:11" ht="24">
      <c r="A400" s="285"/>
      <c r="B400" s="286"/>
      <c r="C400" s="132" t="s">
        <v>214</v>
      </c>
      <c r="D400" s="44" t="s">
        <v>50</v>
      </c>
      <c r="E400" s="114" t="s">
        <v>51</v>
      </c>
      <c r="F400" s="115" t="s">
        <v>52</v>
      </c>
      <c r="G400" s="120" t="s">
        <v>53</v>
      </c>
      <c r="H400" s="289"/>
      <c r="I400" s="273"/>
    </row>
    <row r="401" spans="1:9" ht="18.75">
      <c r="A401" s="285"/>
      <c r="B401" s="286"/>
      <c r="C401" s="133">
        <f>300/200000*G401</f>
        <v>75</v>
      </c>
      <c r="D401" s="47">
        <v>0.06</v>
      </c>
      <c r="E401" s="76">
        <v>0</v>
      </c>
      <c r="F401" s="49">
        <v>0</v>
      </c>
      <c r="G401" s="50">
        <v>50000</v>
      </c>
      <c r="H401" s="121">
        <f>I398/G401+B393+B393*F399</f>
        <v>0.19797083300405677</v>
      </c>
      <c r="I401" s="179">
        <f>(H401/(1-D401)+C399+E399+E401/G401+C401/G401+C403*D403+D399*G393)*(1+F401)*(1+E403+F403)</f>
        <v>0.24566344936667509</v>
      </c>
    </row>
    <row r="402" spans="1:9">
      <c r="A402" s="285"/>
      <c r="B402" s="286"/>
      <c r="C402" s="36" t="s">
        <v>54</v>
      </c>
      <c r="D402" s="36" t="s">
        <v>55</v>
      </c>
      <c r="E402" s="53" t="s">
        <v>56</v>
      </c>
      <c r="F402" s="53" t="s">
        <v>57</v>
      </c>
      <c r="G402" s="53" t="s">
        <v>58</v>
      </c>
      <c r="H402" s="54" t="s">
        <v>59</v>
      </c>
      <c r="I402" s="180" t="s">
        <v>60</v>
      </c>
    </row>
    <row r="403" spans="1:9" ht="18.75">
      <c r="A403" s="287"/>
      <c r="B403" s="288"/>
      <c r="C403" s="56">
        <v>1</v>
      </c>
      <c r="D403" s="223">
        <v>0.02</v>
      </c>
      <c r="E403" s="58">
        <f>0.7%</f>
        <v>6.9999999999999993E-3</v>
      </c>
      <c r="F403" s="58">
        <f>0.5%*3</f>
        <v>1.4999999999999999E-2</v>
      </c>
      <c r="G403" s="59">
        <v>0.15</v>
      </c>
      <c r="H403" s="121">
        <f>(H401+C399+E399+E401/G401+C401/G401+C403*D403+D399*G393)*(1+F401)*(1+E403+F403)</f>
        <v>0.23274901162219766</v>
      </c>
      <c r="I403" s="179">
        <f>I401+(I401-H403)*G403</f>
        <v>0.24760061502834671</v>
      </c>
    </row>
  </sheetData>
  <mergeCells count="309">
    <mergeCell ref="C391:F391"/>
    <mergeCell ref="C392:F392"/>
    <mergeCell ref="C393:F393"/>
    <mergeCell ref="A398:B403"/>
    <mergeCell ref="H399:H400"/>
    <mergeCell ref="I399:I400"/>
    <mergeCell ref="A385:I385"/>
    <mergeCell ref="B387:F387"/>
    <mergeCell ref="H387:I387"/>
    <mergeCell ref="B388:F388"/>
    <mergeCell ref="H388:I388"/>
    <mergeCell ref="A389:A390"/>
    <mergeCell ref="B389:B390"/>
    <mergeCell ref="C389:F390"/>
    <mergeCell ref="C372:F372"/>
    <mergeCell ref="C373:F373"/>
    <mergeCell ref="C374:F374"/>
    <mergeCell ref="A379:B384"/>
    <mergeCell ref="H380:H381"/>
    <mergeCell ref="I380:I381"/>
    <mergeCell ref="A366:I366"/>
    <mergeCell ref="B368:F368"/>
    <mergeCell ref="H368:I368"/>
    <mergeCell ref="B369:F369"/>
    <mergeCell ref="H369:I369"/>
    <mergeCell ref="A370:A371"/>
    <mergeCell ref="B370:B371"/>
    <mergeCell ref="C370:F371"/>
    <mergeCell ref="C353:F353"/>
    <mergeCell ref="C354:F354"/>
    <mergeCell ref="C355:F355"/>
    <mergeCell ref="A360:B365"/>
    <mergeCell ref="H361:H362"/>
    <mergeCell ref="I361:I362"/>
    <mergeCell ref="A347:I347"/>
    <mergeCell ref="B349:F349"/>
    <mergeCell ref="H349:I349"/>
    <mergeCell ref="B350:F350"/>
    <mergeCell ref="H350:I350"/>
    <mergeCell ref="A351:A352"/>
    <mergeCell ref="B351:B352"/>
    <mergeCell ref="C351:F352"/>
    <mergeCell ref="C277:F277"/>
    <mergeCell ref="C278:F278"/>
    <mergeCell ref="C279:F279"/>
    <mergeCell ref="A284:B289"/>
    <mergeCell ref="H285:H286"/>
    <mergeCell ref="I285:I286"/>
    <mergeCell ref="A271:I271"/>
    <mergeCell ref="B273:F273"/>
    <mergeCell ref="H273:I273"/>
    <mergeCell ref="B274:F274"/>
    <mergeCell ref="H274:I274"/>
    <mergeCell ref="A275:A276"/>
    <mergeCell ref="B275:B276"/>
    <mergeCell ref="C275:F276"/>
    <mergeCell ref="C259:F259"/>
    <mergeCell ref="C260:F260"/>
    <mergeCell ref="C261:F261"/>
    <mergeCell ref="A265:B270"/>
    <mergeCell ref="H266:H267"/>
    <mergeCell ref="I266:I267"/>
    <mergeCell ref="A253:I253"/>
    <mergeCell ref="B255:F255"/>
    <mergeCell ref="H255:I255"/>
    <mergeCell ref="B256:F256"/>
    <mergeCell ref="H256:I256"/>
    <mergeCell ref="A257:A258"/>
    <mergeCell ref="B257:B258"/>
    <mergeCell ref="C257:F258"/>
    <mergeCell ref="C241:F241"/>
    <mergeCell ref="C242:F242"/>
    <mergeCell ref="C243:F243"/>
    <mergeCell ref="A247:B252"/>
    <mergeCell ref="H248:H249"/>
    <mergeCell ref="I248:I249"/>
    <mergeCell ref="A235:I235"/>
    <mergeCell ref="B237:F237"/>
    <mergeCell ref="H237:I237"/>
    <mergeCell ref="B238:F238"/>
    <mergeCell ref="H238:I238"/>
    <mergeCell ref="A239:A240"/>
    <mergeCell ref="B239:B240"/>
    <mergeCell ref="C239:F240"/>
    <mergeCell ref="C223:F223"/>
    <mergeCell ref="C224:F224"/>
    <mergeCell ref="C225:F225"/>
    <mergeCell ref="A229:B234"/>
    <mergeCell ref="H230:H231"/>
    <mergeCell ref="I230:I231"/>
    <mergeCell ref="A217:I217"/>
    <mergeCell ref="B219:F219"/>
    <mergeCell ref="H219:I219"/>
    <mergeCell ref="B220:F220"/>
    <mergeCell ref="H220:I220"/>
    <mergeCell ref="A221:A222"/>
    <mergeCell ref="B221:B222"/>
    <mergeCell ref="C221:F222"/>
    <mergeCell ref="C205:F205"/>
    <mergeCell ref="C206:F206"/>
    <mergeCell ref="C207:F207"/>
    <mergeCell ref="A211:B216"/>
    <mergeCell ref="H212:H213"/>
    <mergeCell ref="I212:I213"/>
    <mergeCell ref="A199:I199"/>
    <mergeCell ref="B201:F201"/>
    <mergeCell ref="H201:I201"/>
    <mergeCell ref="B202:F202"/>
    <mergeCell ref="H202:I202"/>
    <mergeCell ref="A203:A204"/>
    <mergeCell ref="B203:B204"/>
    <mergeCell ref="C203:F204"/>
    <mergeCell ref="C187:F187"/>
    <mergeCell ref="C188:F188"/>
    <mergeCell ref="C189:F189"/>
    <mergeCell ref="A193:B198"/>
    <mergeCell ref="H194:H195"/>
    <mergeCell ref="I194:I195"/>
    <mergeCell ref="A181:I181"/>
    <mergeCell ref="B183:F183"/>
    <mergeCell ref="H183:I183"/>
    <mergeCell ref="B184:F184"/>
    <mergeCell ref="H184:I184"/>
    <mergeCell ref="A185:A186"/>
    <mergeCell ref="B185:B186"/>
    <mergeCell ref="C185:F186"/>
    <mergeCell ref="C169:F169"/>
    <mergeCell ref="C170:F170"/>
    <mergeCell ref="C171:F171"/>
    <mergeCell ref="A175:B180"/>
    <mergeCell ref="H176:H177"/>
    <mergeCell ref="I176:I177"/>
    <mergeCell ref="A163:I163"/>
    <mergeCell ref="B165:F165"/>
    <mergeCell ref="H165:I165"/>
    <mergeCell ref="B166:F166"/>
    <mergeCell ref="H166:I166"/>
    <mergeCell ref="A167:A168"/>
    <mergeCell ref="B167:B168"/>
    <mergeCell ref="C167:F168"/>
    <mergeCell ref="C151:F151"/>
    <mergeCell ref="C152:F152"/>
    <mergeCell ref="C153:F153"/>
    <mergeCell ref="A157:B162"/>
    <mergeCell ref="H158:H159"/>
    <mergeCell ref="I158:I159"/>
    <mergeCell ref="A145:I145"/>
    <mergeCell ref="B147:F147"/>
    <mergeCell ref="H147:I147"/>
    <mergeCell ref="B148:F148"/>
    <mergeCell ref="H148:I148"/>
    <mergeCell ref="A149:A150"/>
    <mergeCell ref="B149:B150"/>
    <mergeCell ref="C149:F150"/>
    <mergeCell ref="C133:F133"/>
    <mergeCell ref="C134:F134"/>
    <mergeCell ref="C135:F135"/>
    <mergeCell ref="A139:B144"/>
    <mergeCell ref="H140:H141"/>
    <mergeCell ref="I140:I141"/>
    <mergeCell ref="A127:I127"/>
    <mergeCell ref="B129:F129"/>
    <mergeCell ref="H129:I129"/>
    <mergeCell ref="B130:F130"/>
    <mergeCell ref="H130:I130"/>
    <mergeCell ref="A131:A132"/>
    <mergeCell ref="B131:B132"/>
    <mergeCell ref="C131:F132"/>
    <mergeCell ref="C115:F115"/>
    <mergeCell ref="C116:F116"/>
    <mergeCell ref="C117:F117"/>
    <mergeCell ref="A121:B126"/>
    <mergeCell ref="H122:H123"/>
    <mergeCell ref="I122:I123"/>
    <mergeCell ref="A109:I109"/>
    <mergeCell ref="B111:F111"/>
    <mergeCell ref="H111:I111"/>
    <mergeCell ref="B112:F112"/>
    <mergeCell ref="H112:I112"/>
    <mergeCell ref="A113:A114"/>
    <mergeCell ref="B113:B114"/>
    <mergeCell ref="C113:F114"/>
    <mergeCell ref="C97:F97"/>
    <mergeCell ref="C98:F98"/>
    <mergeCell ref="C99:F99"/>
    <mergeCell ref="A103:B108"/>
    <mergeCell ref="H104:H105"/>
    <mergeCell ref="I104:I105"/>
    <mergeCell ref="A91:I91"/>
    <mergeCell ref="B93:F93"/>
    <mergeCell ref="H93:I93"/>
    <mergeCell ref="B94:F94"/>
    <mergeCell ref="H94:I94"/>
    <mergeCell ref="A95:A96"/>
    <mergeCell ref="B95:B96"/>
    <mergeCell ref="C95:F96"/>
    <mergeCell ref="C79:F79"/>
    <mergeCell ref="C80:F80"/>
    <mergeCell ref="C81:F81"/>
    <mergeCell ref="A85:B90"/>
    <mergeCell ref="H86:H87"/>
    <mergeCell ref="I86:I87"/>
    <mergeCell ref="B75:F75"/>
    <mergeCell ref="H75:I75"/>
    <mergeCell ref="B76:F76"/>
    <mergeCell ref="H76:I76"/>
    <mergeCell ref="A77:A78"/>
    <mergeCell ref="B77:B78"/>
    <mergeCell ref="C77:F78"/>
    <mergeCell ref="C62:F62"/>
    <mergeCell ref="C63:F63"/>
    <mergeCell ref="A67:B72"/>
    <mergeCell ref="H68:H69"/>
    <mergeCell ref="I68:I69"/>
    <mergeCell ref="A73:I73"/>
    <mergeCell ref="B58:F58"/>
    <mergeCell ref="H58:I58"/>
    <mergeCell ref="A59:A60"/>
    <mergeCell ref="B59:B60"/>
    <mergeCell ref="C59:F60"/>
    <mergeCell ref="C61:F61"/>
    <mergeCell ref="A49:B54"/>
    <mergeCell ref="H50:H51"/>
    <mergeCell ref="I50:I51"/>
    <mergeCell ref="A55:I55"/>
    <mergeCell ref="B57:F57"/>
    <mergeCell ref="H57:I57"/>
    <mergeCell ref="A41:A42"/>
    <mergeCell ref="B41:B42"/>
    <mergeCell ref="C41:F42"/>
    <mergeCell ref="C43:F43"/>
    <mergeCell ref="C44:F44"/>
    <mergeCell ref="C45:F45"/>
    <mergeCell ref="J1:K2"/>
    <mergeCell ref="A37:I37"/>
    <mergeCell ref="B39:F39"/>
    <mergeCell ref="H39:I39"/>
    <mergeCell ref="B40:F40"/>
    <mergeCell ref="H40:I40"/>
    <mergeCell ref="C7:F7"/>
    <mergeCell ref="C8:F8"/>
    <mergeCell ref="C9:F9"/>
    <mergeCell ref="A13:B18"/>
    <mergeCell ref="H14:H15"/>
    <mergeCell ref="I14:I15"/>
    <mergeCell ref="A1:I1"/>
    <mergeCell ref="B3:F3"/>
    <mergeCell ref="H3:I3"/>
    <mergeCell ref="B4:F4"/>
    <mergeCell ref="H4:I4"/>
    <mergeCell ref="A5:A6"/>
    <mergeCell ref="B5:B6"/>
    <mergeCell ref="C5:F6"/>
    <mergeCell ref="C25:F25"/>
    <mergeCell ref="C26:F26"/>
    <mergeCell ref="C27:F27"/>
    <mergeCell ref="A31:B36"/>
    <mergeCell ref="H32:H33"/>
    <mergeCell ref="I32:I33"/>
    <mergeCell ref="A19:I19"/>
    <mergeCell ref="B21:F21"/>
    <mergeCell ref="H21:I21"/>
    <mergeCell ref="B22:F22"/>
    <mergeCell ref="H22:I22"/>
    <mergeCell ref="A23:A24"/>
    <mergeCell ref="B23:B24"/>
    <mergeCell ref="C23:F24"/>
    <mergeCell ref="A290:I290"/>
    <mergeCell ref="B292:F292"/>
    <mergeCell ref="H292:I292"/>
    <mergeCell ref="B293:F293"/>
    <mergeCell ref="H293:I293"/>
    <mergeCell ref="A294:A295"/>
    <mergeCell ref="B294:B295"/>
    <mergeCell ref="C294:F295"/>
    <mergeCell ref="C296:F296"/>
    <mergeCell ref="C297:F297"/>
    <mergeCell ref="C298:F298"/>
    <mergeCell ref="A303:B308"/>
    <mergeCell ref="H304:H305"/>
    <mergeCell ref="I304:I305"/>
    <mergeCell ref="A309:I309"/>
    <mergeCell ref="B311:F311"/>
    <mergeCell ref="H311:I311"/>
    <mergeCell ref="B312:F312"/>
    <mergeCell ref="H312:I312"/>
    <mergeCell ref="A313:A314"/>
    <mergeCell ref="B313:B314"/>
    <mergeCell ref="C313:F314"/>
    <mergeCell ref="C315:F315"/>
    <mergeCell ref="C316:F316"/>
    <mergeCell ref="C317:F317"/>
    <mergeCell ref="A322:B327"/>
    <mergeCell ref="H323:H324"/>
    <mergeCell ref="I323:I324"/>
    <mergeCell ref="C335:F335"/>
    <mergeCell ref="C336:F336"/>
    <mergeCell ref="A341:B346"/>
    <mergeCell ref="H342:H343"/>
    <mergeCell ref="I342:I343"/>
    <mergeCell ref="A328:I328"/>
    <mergeCell ref="B330:F330"/>
    <mergeCell ref="H330:I330"/>
    <mergeCell ref="B331:F331"/>
    <mergeCell ref="H331:I331"/>
    <mergeCell ref="A332:A333"/>
    <mergeCell ref="B332:B333"/>
    <mergeCell ref="C332:F333"/>
    <mergeCell ref="C334:F334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FD33-75A9-449E-AE2B-F5A8031B7E00}">
  <sheetPr>
    <tabColor rgb="FFFFFF00"/>
  </sheetPr>
  <dimension ref="A1:C104"/>
  <sheetViews>
    <sheetView topLeftCell="A76" workbookViewId="0">
      <selection activeCell="F104" sqref="F104"/>
    </sheetView>
  </sheetViews>
  <sheetFormatPr defaultRowHeight="12"/>
  <cols>
    <col min="1" max="1" width="14.375" style="81" customWidth="1"/>
    <col min="2" max="2" width="70.25" style="81" customWidth="1"/>
    <col min="3" max="3" width="18.875" style="81" customWidth="1"/>
    <col min="4" max="256" width="9" style="81"/>
    <col min="257" max="257" width="14.375" style="81" customWidth="1"/>
    <col min="258" max="258" width="70.25" style="81" customWidth="1"/>
    <col min="259" max="259" width="18.875" style="81" customWidth="1"/>
    <col min="260" max="512" width="9" style="81"/>
    <col min="513" max="513" width="14.375" style="81" customWidth="1"/>
    <col min="514" max="514" width="70.25" style="81" customWidth="1"/>
    <col min="515" max="515" width="18.875" style="81" customWidth="1"/>
    <col min="516" max="768" width="9" style="81"/>
    <col min="769" max="769" width="14.375" style="81" customWidth="1"/>
    <col min="770" max="770" width="70.25" style="81" customWidth="1"/>
    <col min="771" max="771" width="18.875" style="81" customWidth="1"/>
    <col min="772" max="1024" width="9" style="81"/>
    <col min="1025" max="1025" width="14.375" style="81" customWidth="1"/>
    <col min="1026" max="1026" width="70.25" style="81" customWidth="1"/>
    <col min="1027" max="1027" width="18.875" style="81" customWidth="1"/>
    <col min="1028" max="1280" width="9" style="81"/>
    <col min="1281" max="1281" width="14.375" style="81" customWidth="1"/>
    <col min="1282" max="1282" width="70.25" style="81" customWidth="1"/>
    <col min="1283" max="1283" width="18.875" style="81" customWidth="1"/>
    <col min="1284" max="1536" width="9" style="81"/>
    <col min="1537" max="1537" width="14.375" style="81" customWidth="1"/>
    <col min="1538" max="1538" width="70.25" style="81" customWidth="1"/>
    <col min="1539" max="1539" width="18.875" style="81" customWidth="1"/>
    <col min="1540" max="1792" width="9" style="81"/>
    <col min="1793" max="1793" width="14.375" style="81" customWidth="1"/>
    <col min="1794" max="1794" width="70.25" style="81" customWidth="1"/>
    <col min="1795" max="1795" width="18.875" style="81" customWidth="1"/>
    <col min="1796" max="2048" width="9" style="81"/>
    <col min="2049" max="2049" width="14.375" style="81" customWidth="1"/>
    <col min="2050" max="2050" width="70.25" style="81" customWidth="1"/>
    <col min="2051" max="2051" width="18.875" style="81" customWidth="1"/>
    <col min="2052" max="2304" width="9" style="81"/>
    <col min="2305" max="2305" width="14.375" style="81" customWidth="1"/>
    <col min="2306" max="2306" width="70.25" style="81" customWidth="1"/>
    <col min="2307" max="2307" width="18.875" style="81" customWidth="1"/>
    <col min="2308" max="2560" width="9" style="81"/>
    <col min="2561" max="2561" width="14.375" style="81" customWidth="1"/>
    <col min="2562" max="2562" width="70.25" style="81" customWidth="1"/>
    <col min="2563" max="2563" width="18.875" style="81" customWidth="1"/>
    <col min="2564" max="2816" width="9" style="81"/>
    <col min="2817" max="2817" width="14.375" style="81" customWidth="1"/>
    <col min="2818" max="2818" width="70.25" style="81" customWidth="1"/>
    <col min="2819" max="2819" width="18.875" style="81" customWidth="1"/>
    <col min="2820" max="3072" width="9" style="81"/>
    <col min="3073" max="3073" width="14.375" style="81" customWidth="1"/>
    <col min="3074" max="3074" width="70.25" style="81" customWidth="1"/>
    <col min="3075" max="3075" width="18.875" style="81" customWidth="1"/>
    <col min="3076" max="3328" width="9" style="81"/>
    <col min="3329" max="3329" width="14.375" style="81" customWidth="1"/>
    <col min="3330" max="3330" width="70.25" style="81" customWidth="1"/>
    <col min="3331" max="3331" width="18.875" style="81" customWidth="1"/>
    <col min="3332" max="3584" width="9" style="81"/>
    <col min="3585" max="3585" width="14.375" style="81" customWidth="1"/>
    <col min="3586" max="3586" width="70.25" style="81" customWidth="1"/>
    <col min="3587" max="3587" width="18.875" style="81" customWidth="1"/>
    <col min="3588" max="3840" width="9" style="81"/>
    <col min="3841" max="3841" width="14.375" style="81" customWidth="1"/>
    <col min="3842" max="3842" width="70.25" style="81" customWidth="1"/>
    <col min="3843" max="3843" width="18.875" style="81" customWidth="1"/>
    <col min="3844" max="4096" width="9" style="81"/>
    <col min="4097" max="4097" width="14.375" style="81" customWidth="1"/>
    <col min="4098" max="4098" width="70.25" style="81" customWidth="1"/>
    <col min="4099" max="4099" width="18.875" style="81" customWidth="1"/>
    <col min="4100" max="4352" width="9" style="81"/>
    <col min="4353" max="4353" width="14.375" style="81" customWidth="1"/>
    <col min="4354" max="4354" width="70.25" style="81" customWidth="1"/>
    <col min="4355" max="4355" width="18.875" style="81" customWidth="1"/>
    <col min="4356" max="4608" width="9" style="81"/>
    <col min="4609" max="4609" width="14.375" style="81" customWidth="1"/>
    <col min="4610" max="4610" width="70.25" style="81" customWidth="1"/>
    <col min="4611" max="4611" width="18.875" style="81" customWidth="1"/>
    <col min="4612" max="4864" width="9" style="81"/>
    <col min="4865" max="4865" width="14.375" style="81" customWidth="1"/>
    <col min="4866" max="4866" width="70.25" style="81" customWidth="1"/>
    <col min="4867" max="4867" width="18.875" style="81" customWidth="1"/>
    <col min="4868" max="5120" width="9" style="81"/>
    <col min="5121" max="5121" width="14.375" style="81" customWidth="1"/>
    <col min="5122" max="5122" width="70.25" style="81" customWidth="1"/>
    <col min="5123" max="5123" width="18.875" style="81" customWidth="1"/>
    <col min="5124" max="5376" width="9" style="81"/>
    <col min="5377" max="5377" width="14.375" style="81" customWidth="1"/>
    <col min="5378" max="5378" width="70.25" style="81" customWidth="1"/>
    <col min="5379" max="5379" width="18.875" style="81" customWidth="1"/>
    <col min="5380" max="5632" width="9" style="81"/>
    <col min="5633" max="5633" width="14.375" style="81" customWidth="1"/>
    <col min="5634" max="5634" width="70.25" style="81" customWidth="1"/>
    <col min="5635" max="5635" width="18.875" style="81" customWidth="1"/>
    <col min="5636" max="5888" width="9" style="81"/>
    <col min="5889" max="5889" width="14.375" style="81" customWidth="1"/>
    <col min="5890" max="5890" width="70.25" style="81" customWidth="1"/>
    <col min="5891" max="5891" width="18.875" style="81" customWidth="1"/>
    <col min="5892" max="6144" width="9" style="81"/>
    <col min="6145" max="6145" width="14.375" style="81" customWidth="1"/>
    <col min="6146" max="6146" width="70.25" style="81" customWidth="1"/>
    <col min="6147" max="6147" width="18.875" style="81" customWidth="1"/>
    <col min="6148" max="6400" width="9" style="81"/>
    <col min="6401" max="6401" width="14.375" style="81" customWidth="1"/>
    <col min="6402" max="6402" width="70.25" style="81" customWidth="1"/>
    <col min="6403" max="6403" width="18.875" style="81" customWidth="1"/>
    <col min="6404" max="6656" width="9" style="81"/>
    <col min="6657" max="6657" width="14.375" style="81" customWidth="1"/>
    <col min="6658" max="6658" width="70.25" style="81" customWidth="1"/>
    <col min="6659" max="6659" width="18.875" style="81" customWidth="1"/>
    <col min="6660" max="6912" width="9" style="81"/>
    <col min="6913" max="6913" width="14.375" style="81" customWidth="1"/>
    <col min="6914" max="6914" width="70.25" style="81" customWidth="1"/>
    <col min="6915" max="6915" width="18.875" style="81" customWidth="1"/>
    <col min="6916" max="7168" width="9" style="81"/>
    <col min="7169" max="7169" width="14.375" style="81" customWidth="1"/>
    <col min="7170" max="7170" width="70.25" style="81" customWidth="1"/>
    <col min="7171" max="7171" width="18.875" style="81" customWidth="1"/>
    <col min="7172" max="7424" width="9" style="81"/>
    <col min="7425" max="7425" width="14.375" style="81" customWidth="1"/>
    <col min="7426" max="7426" width="70.25" style="81" customWidth="1"/>
    <col min="7427" max="7427" width="18.875" style="81" customWidth="1"/>
    <col min="7428" max="7680" width="9" style="81"/>
    <col min="7681" max="7681" width="14.375" style="81" customWidth="1"/>
    <col min="7682" max="7682" width="70.25" style="81" customWidth="1"/>
    <col min="7683" max="7683" width="18.875" style="81" customWidth="1"/>
    <col min="7684" max="7936" width="9" style="81"/>
    <col min="7937" max="7937" width="14.375" style="81" customWidth="1"/>
    <col min="7938" max="7938" width="70.25" style="81" customWidth="1"/>
    <col min="7939" max="7939" width="18.875" style="81" customWidth="1"/>
    <col min="7940" max="8192" width="9" style="81"/>
    <col min="8193" max="8193" width="14.375" style="81" customWidth="1"/>
    <col min="8194" max="8194" width="70.25" style="81" customWidth="1"/>
    <col min="8195" max="8195" width="18.875" style="81" customWidth="1"/>
    <col min="8196" max="8448" width="9" style="81"/>
    <col min="8449" max="8449" width="14.375" style="81" customWidth="1"/>
    <col min="8450" max="8450" width="70.25" style="81" customWidth="1"/>
    <col min="8451" max="8451" width="18.875" style="81" customWidth="1"/>
    <col min="8452" max="8704" width="9" style="81"/>
    <col min="8705" max="8705" width="14.375" style="81" customWidth="1"/>
    <col min="8706" max="8706" width="70.25" style="81" customWidth="1"/>
    <col min="8707" max="8707" width="18.875" style="81" customWidth="1"/>
    <col min="8708" max="8960" width="9" style="81"/>
    <col min="8961" max="8961" width="14.375" style="81" customWidth="1"/>
    <col min="8962" max="8962" width="70.25" style="81" customWidth="1"/>
    <col min="8963" max="8963" width="18.875" style="81" customWidth="1"/>
    <col min="8964" max="9216" width="9" style="81"/>
    <col min="9217" max="9217" width="14.375" style="81" customWidth="1"/>
    <col min="9218" max="9218" width="70.25" style="81" customWidth="1"/>
    <col min="9219" max="9219" width="18.875" style="81" customWidth="1"/>
    <col min="9220" max="9472" width="9" style="81"/>
    <col min="9473" max="9473" width="14.375" style="81" customWidth="1"/>
    <col min="9474" max="9474" width="70.25" style="81" customWidth="1"/>
    <col min="9475" max="9475" width="18.875" style="81" customWidth="1"/>
    <col min="9476" max="9728" width="9" style="81"/>
    <col min="9729" max="9729" width="14.375" style="81" customWidth="1"/>
    <col min="9730" max="9730" width="70.25" style="81" customWidth="1"/>
    <col min="9731" max="9731" width="18.875" style="81" customWidth="1"/>
    <col min="9732" max="9984" width="9" style="81"/>
    <col min="9985" max="9985" width="14.375" style="81" customWidth="1"/>
    <col min="9986" max="9986" width="70.25" style="81" customWidth="1"/>
    <col min="9987" max="9987" width="18.875" style="81" customWidth="1"/>
    <col min="9988" max="10240" width="9" style="81"/>
    <col min="10241" max="10241" width="14.375" style="81" customWidth="1"/>
    <col min="10242" max="10242" width="70.25" style="81" customWidth="1"/>
    <col min="10243" max="10243" width="18.875" style="81" customWidth="1"/>
    <col min="10244" max="10496" width="9" style="81"/>
    <col min="10497" max="10497" width="14.375" style="81" customWidth="1"/>
    <col min="10498" max="10498" width="70.25" style="81" customWidth="1"/>
    <col min="10499" max="10499" width="18.875" style="81" customWidth="1"/>
    <col min="10500" max="10752" width="9" style="81"/>
    <col min="10753" max="10753" width="14.375" style="81" customWidth="1"/>
    <col min="10754" max="10754" width="70.25" style="81" customWidth="1"/>
    <col min="10755" max="10755" width="18.875" style="81" customWidth="1"/>
    <col min="10756" max="11008" width="9" style="81"/>
    <col min="11009" max="11009" width="14.375" style="81" customWidth="1"/>
    <col min="11010" max="11010" width="70.25" style="81" customWidth="1"/>
    <col min="11011" max="11011" width="18.875" style="81" customWidth="1"/>
    <col min="11012" max="11264" width="9" style="81"/>
    <col min="11265" max="11265" width="14.375" style="81" customWidth="1"/>
    <col min="11266" max="11266" width="70.25" style="81" customWidth="1"/>
    <col min="11267" max="11267" width="18.875" style="81" customWidth="1"/>
    <col min="11268" max="11520" width="9" style="81"/>
    <col min="11521" max="11521" width="14.375" style="81" customWidth="1"/>
    <col min="11522" max="11522" width="70.25" style="81" customWidth="1"/>
    <col min="11523" max="11523" width="18.875" style="81" customWidth="1"/>
    <col min="11524" max="11776" width="9" style="81"/>
    <col min="11777" max="11777" width="14.375" style="81" customWidth="1"/>
    <col min="11778" max="11778" width="70.25" style="81" customWidth="1"/>
    <col min="11779" max="11779" width="18.875" style="81" customWidth="1"/>
    <col min="11780" max="12032" width="9" style="81"/>
    <col min="12033" max="12033" width="14.375" style="81" customWidth="1"/>
    <col min="12034" max="12034" width="70.25" style="81" customWidth="1"/>
    <col min="12035" max="12035" width="18.875" style="81" customWidth="1"/>
    <col min="12036" max="12288" width="9" style="81"/>
    <col min="12289" max="12289" width="14.375" style="81" customWidth="1"/>
    <col min="12290" max="12290" width="70.25" style="81" customWidth="1"/>
    <col min="12291" max="12291" width="18.875" style="81" customWidth="1"/>
    <col min="12292" max="12544" width="9" style="81"/>
    <col min="12545" max="12545" width="14.375" style="81" customWidth="1"/>
    <col min="12546" max="12546" width="70.25" style="81" customWidth="1"/>
    <col min="12547" max="12547" width="18.875" style="81" customWidth="1"/>
    <col min="12548" max="12800" width="9" style="81"/>
    <col min="12801" max="12801" width="14.375" style="81" customWidth="1"/>
    <col min="12802" max="12802" width="70.25" style="81" customWidth="1"/>
    <col min="12803" max="12803" width="18.875" style="81" customWidth="1"/>
    <col min="12804" max="13056" width="9" style="81"/>
    <col min="13057" max="13057" width="14.375" style="81" customWidth="1"/>
    <col min="13058" max="13058" width="70.25" style="81" customWidth="1"/>
    <col min="13059" max="13059" width="18.875" style="81" customWidth="1"/>
    <col min="13060" max="13312" width="9" style="81"/>
    <col min="13313" max="13313" width="14.375" style="81" customWidth="1"/>
    <col min="13314" max="13314" width="70.25" style="81" customWidth="1"/>
    <col min="13315" max="13315" width="18.875" style="81" customWidth="1"/>
    <col min="13316" max="13568" width="9" style="81"/>
    <col min="13569" max="13569" width="14.375" style="81" customWidth="1"/>
    <col min="13570" max="13570" width="70.25" style="81" customWidth="1"/>
    <col min="13571" max="13571" width="18.875" style="81" customWidth="1"/>
    <col min="13572" max="13824" width="9" style="81"/>
    <col min="13825" max="13825" width="14.375" style="81" customWidth="1"/>
    <col min="13826" max="13826" width="70.25" style="81" customWidth="1"/>
    <col min="13827" max="13827" width="18.875" style="81" customWidth="1"/>
    <col min="13828" max="14080" width="9" style="81"/>
    <col min="14081" max="14081" width="14.375" style="81" customWidth="1"/>
    <col min="14082" max="14082" width="70.25" style="81" customWidth="1"/>
    <col min="14083" max="14083" width="18.875" style="81" customWidth="1"/>
    <col min="14084" max="14336" width="9" style="81"/>
    <col min="14337" max="14337" width="14.375" style="81" customWidth="1"/>
    <col min="14338" max="14338" width="70.25" style="81" customWidth="1"/>
    <col min="14339" max="14339" width="18.875" style="81" customWidth="1"/>
    <col min="14340" max="14592" width="9" style="81"/>
    <col min="14593" max="14593" width="14.375" style="81" customWidth="1"/>
    <col min="14594" max="14594" width="70.25" style="81" customWidth="1"/>
    <col min="14595" max="14595" width="18.875" style="81" customWidth="1"/>
    <col min="14596" max="14848" width="9" style="81"/>
    <col min="14849" max="14849" width="14.375" style="81" customWidth="1"/>
    <col min="14850" max="14850" width="70.25" style="81" customWidth="1"/>
    <col min="14851" max="14851" width="18.875" style="81" customWidth="1"/>
    <col min="14852" max="15104" width="9" style="81"/>
    <col min="15105" max="15105" width="14.375" style="81" customWidth="1"/>
    <col min="15106" max="15106" width="70.25" style="81" customWidth="1"/>
    <col min="15107" max="15107" width="18.875" style="81" customWidth="1"/>
    <col min="15108" max="15360" width="9" style="81"/>
    <col min="15361" max="15361" width="14.375" style="81" customWidth="1"/>
    <col min="15362" max="15362" width="70.25" style="81" customWidth="1"/>
    <col min="15363" max="15363" width="18.875" style="81" customWidth="1"/>
    <col min="15364" max="15616" width="9" style="81"/>
    <col min="15617" max="15617" width="14.375" style="81" customWidth="1"/>
    <col min="15618" max="15618" width="70.25" style="81" customWidth="1"/>
    <col min="15619" max="15619" width="18.875" style="81" customWidth="1"/>
    <col min="15620" max="15872" width="9" style="81"/>
    <col min="15873" max="15873" width="14.375" style="81" customWidth="1"/>
    <col min="15874" max="15874" width="70.25" style="81" customWidth="1"/>
    <col min="15875" max="15875" width="18.875" style="81" customWidth="1"/>
    <col min="15876" max="16128" width="9" style="81"/>
    <col min="16129" max="16129" width="14.375" style="81" customWidth="1"/>
    <col min="16130" max="16130" width="70.25" style="81" customWidth="1"/>
    <col min="16131" max="16131" width="18.875" style="81" customWidth="1"/>
    <col min="16132" max="16384" width="9" style="81"/>
  </cols>
  <sheetData>
    <row r="1" spans="1:3" ht="16.5">
      <c r="A1" s="79" t="s">
        <v>74</v>
      </c>
      <c r="B1" s="80" t="s">
        <v>75</v>
      </c>
      <c r="C1" s="145" t="s">
        <v>76</v>
      </c>
    </row>
    <row r="2" spans="1:3" ht="18">
      <c r="A2" s="82" t="s">
        <v>77</v>
      </c>
      <c r="B2" s="83" t="s">
        <v>78</v>
      </c>
      <c r="C2" s="366" t="s">
        <v>79</v>
      </c>
    </row>
    <row r="3" spans="1:3" ht="18">
      <c r="A3" s="82" t="s">
        <v>77</v>
      </c>
      <c r="B3" s="83" t="s">
        <v>80</v>
      </c>
      <c r="C3" s="366"/>
    </row>
    <row r="4" spans="1:3" ht="18">
      <c r="A4" s="82" t="s">
        <v>77</v>
      </c>
      <c r="B4" s="83" t="s">
        <v>81</v>
      </c>
      <c r="C4" s="366"/>
    </row>
    <row r="5" spans="1:3" ht="18">
      <c r="A5" s="82" t="s">
        <v>77</v>
      </c>
      <c r="B5" s="83" t="s">
        <v>82</v>
      </c>
      <c r="C5" s="366"/>
    </row>
    <row r="6" spans="1:3" ht="18">
      <c r="A6" s="82" t="s">
        <v>77</v>
      </c>
      <c r="B6" s="83" t="s">
        <v>83</v>
      </c>
      <c r="C6" s="366" t="s">
        <v>84</v>
      </c>
    </row>
    <row r="7" spans="1:3" ht="18">
      <c r="A7" s="82" t="s">
        <v>77</v>
      </c>
      <c r="B7" s="83" t="s">
        <v>85</v>
      </c>
      <c r="C7" s="366"/>
    </row>
    <row r="8" spans="1:3" ht="18">
      <c r="A8" s="82" t="s">
        <v>77</v>
      </c>
      <c r="B8" s="83" t="s">
        <v>86</v>
      </c>
      <c r="C8" s="366"/>
    </row>
    <row r="9" spans="1:3" ht="16.5">
      <c r="A9" s="82" t="s">
        <v>77</v>
      </c>
      <c r="B9" s="83" t="s">
        <v>87</v>
      </c>
      <c r="C9" s="366" t="s">
        <v>88</v>
      </c>
    </row>
    <row r="10" spans="1:3" ht="16.5">
      <c r="A10" s="82" t="s">
        <v>77</v>
      </c>
      <c r="B10" s="83" t="s">
        <v>89</v>
      </c>
      <c r="C10" s="366"/>
    </row>
    <row r="11" spans="1:3" ht="16.5">
      <c r="A11" s="82" t="s">
        <v>77</v>
      </c>
      <c r="B11" s="83" t="s">
        <v>90</v>
      </c>
      <c r="C11" s="366" t="s">
        <v>91</v>
      </c>
    </row>
    <row r="12" spans="1:3" ht="16.5">
      <c r="A12" s="82" t="s">
        <v>77</v>
      </c>
      <c r="B12" s="83" t="s">
        <v>92</v>
      </c>
      <c r="C12" s="366"/>
    </row>
    <row r="13" spans="1:3" ht="16.5">
      <c r="A13" s="82" t="s">
        <v>77</v>
      </c>
      <c r="B13" s="83" t="s">
        <v>93</v>
      </c>
      <c r="C13" s="366"/>
    </row>
    <row r="14" spans="1:3" ht="16.5">
      <c r="A14" s="82" t="s">
        <v>77</v>
      </c>
      <c r="B14" s="83" t="s">
        <v>94</v>
      </c>
      <c r="C14" s="366"/>
    </row>
    <row r="15" spans="1:3" ht="16.5">
      <c r="A15" s="82" t="s">
        <v>77</v>
      </c>
      <c r="B15" s="83" t="s">
        <v>95</v>
      </c>
      <c r="C15" s="366"/>
    </row>
    <row r="16" spans="1:3" ht="16.5">
      <c r="A16" s="82" t="s">
        <v>77</v>
      </c>
      <c r="B16" s="83" t="s">
        <v>96</v>
      </c>
      <c r="C16" s="366"/>
    </row>
    <row r="17" spans="1:3" ht="16.5">
      <c r="A17" s="82" t="s">
        <v>77</v>
      </c>
      <c r="B17" s="83" t="s">
        <v>97</v>
      </c>
      <c r="C17" s="366"/>
    </row>
    <row r="18" spans="1:3" ht="16.5">
      <c r="A18" s="82" t="s">
        <v>98</v>
      </c>
      <c r="B18" s="83" t="s">
        <v>99</v>
      </c>
      <c r="C18" s="366"/>
    </row>
    <row r="19" spans="1:3" ht="16.5">
      <c r="A19" s="82" t="s">
        <v>98</v>
      </c>
      <c r="B19" s="83" t="s">
        <v>100</v>
      </c>
      <c r="C19" s="366" t="s">
        <v>101</v>
      </c>
    </row>
    <row r="20" spans="1:3" ht="16.5">
      <c r="A20" s="82" t="s">
        <v>98</v>
      </c>
      <c r="B20" s="83" t="s">
        <v>102</v>
      </c>
      <c r="C20" s="366"/>
    </row>
    <row r="21" spans="1:3" ht="16.5">
      <c r="A21" s="82" t="s">
        <v>98</v>
      </c>
      <c r="B21" s="83" t="s">
        <v>103</v>
      </c>
      <c r="C21" s="146" t="s">
        <v>104</v>
      </c>
    </row>
    <row r="22" spans="1:3" ht="16.5">
      <c r="A22" s="82" t="s">
        <v>77</v>
      </c>
      <c r="B22" s="83" t="s">
        <v>105</v>
      </c>
      <c r="C22" s="146" t="s">
        <v>106</v>
      </c>
    </row>
    <row r="23" spans="1:3" ht="16.5">
      <c r="A23" s="82" t="s">
        <v>77</v>
      </c>
      <c r="B23" s="83" t="s">
        <v>107</v>
      </c>
      <c r="C23" s="366" t="s">
        <v>108</v>
      </c>
    </row>
    <row r="24" spans="1:3" ht="16.5">
      <c r="A24" s="84" t="s">
        <v>98</v>
      </c>
      <c r="B24" s="83" t="s">
        <v>109</v>
      </c>
      <c r="C24" s="366"/>
    </row>
    <row r="25" spans="1:3" ht="16.5">
      <c r="A25" s="82" t="s">
        <v>77</v>
      </c>
      <c r="B25" s="83" t="s">
        <v>110</v>
      </c>
      <c r="C25" s="366"/>
    </row>
    <row r="26" spans="1:3" ht="16.5">
      <c r="A26" s="82" t="s">
        <v>98</v>
      </c>
      <c r="B26" s="83" t="s">
        <v>111</v>
      </c>
      <c r="C26" s="146" t="s">
        <v>112</v>
      </c>
    </row>
    <row r="27" spans="1:3" ht="16.5">
      <c r="A27" s="82" t="s">
        <v>98</v>
      </c>
      <c r="B27" s="83" t="s">
        <v>116</v>
      </c>
      <c r="C27" s="366" t="s">
        <v>117</v>
      </c>
    </row>
    <row r="28" spans="1:3" ht="16.5">
      <c r="A28" s="82" t="s">
        <v>98</v>
      </c>
      <c r="B28" s="83" t="s">
        <v>118</v>
      </c>
      <c r="C28" s="366"/>
    </row>
    <row r="29" spans="1:3" ht="16.5">
      <c r="A29" s="82" t="s">
        <v>98</v>
      </c>
      <c r="B29" s="83" t="s">
        <v>131</v>
      </c>
      <c r="C29" s="366" t="s">
        <v>117</v>
      </c>
    </row>
    <row r="30" spans="1:3" ht="16.5">
      <c r="A30" s="82" t="s">
        <v>98</v>
      </c>
      <c r="B30" s="83" t="s">
        <v>132</v>
      </c>
      <c r="C30" s="366"/>
    </row>
    <row r="31" spans="1:3" ht="16.5">
      <c r="A31" s="82" t="s">
        <v>98</v>
      </c>
      <c r="B31" s="83" t="s">
        <v>119</v>
      </c>
      <c r="C31" s="366" t="s">
        <v>120</v>
      </c>
    </row>
    <row r="32" spans="1:3" ht="16.5">
      <c r="A32" s="82" t="s">
        <v>98</v>
      </c>
      <c r="B32" s="83" t="s">
        <v>121</v>
      </c>
      <c r="C32" s="366"/>
    </row>
    <row r="33" spans="1:3" ht="16.5">
      <c r="A33" s="82" t="s">
        <v>98</v>
      </c>
      <c r="B33" s="83" t="s">
        <v>122</v>
      </c>
      <c r="C33" s="366"/>
    </row>
    <row r="34" spans="1:3" ht="16.5">
      <c r="A34" s="82" t="s">
        <v>98</v>
      </c>
      <c r="B34" s="83" t="s">
        <v>123</v>
      </c>
      <c r="C34" s="366"/>
    </row>
    <row r="35" spans="1:3" ht="16.5">
      <c r="A35" s="82" t="s">
        <v>98</v>
      </c>
      <c r="B35" s="83" t="s">
        <v>124</v>
      </c>
      <c r="C35" s="366"/>
    </row>
    <row r="36" spans="1:3" ht="16.5">
      <c r="A36" s="82" t="s">
        <v>98</v>
      </c>
      <c r="B36" s="83" t="s">
        <v>125</v>
      </c>
      <c r="C36" s="366"/>
    </row>
    <row r="37" spans="1:3" ht="16.5">
      <c r="A37" s="82" t="s">
        <v>98</v>
      </c>
      <c r="B37" s="83" t="s">
        <v>126</v>
      </c>
      <c r="C37" s="366"/>
    </row>
    <row r="38" spans="1:3" ht="16.5">
      <c r="A38" s="82" t="s">
        <v>98</v>
      </c>
      <c r="B38" s="83" t="s">
        <v>127</v>
      </c>
      <c r="C38" s="366"/>
    </row>
    <row r="39" spans="1:3" ht="16.5">
      <c r="A39" s="82" t="s">
        <v>98</v>
      </c>
      <c r="B39" s="83" t="s">
        <v>128</v>
      </c>
      <c r="C39" s="366"/>
    </row>
    <row r="40" spans="1:3" ht="16.5">
      <c r="A40" s="82" t="s">
        <v>98</v>
      </c>
      <c r="B40" s="83" t="s">
        <v>129</v>
      </c>
      <c r="C40" s="366"/>
    </row>
    <row r="41" spans="1:3" ht="16.5">
      <c r="A41" s="82" t="s">
        <v>98</v>
      </c>
      <c r="B41" s="83" t="s">
        <v>130</v>
      </c>
      <c r="C41" s="366"/>
    </row>
    <row r="42" spans="1:3" ht="16.5">
      <c r="A42" s="82" t="s">
        <v>77</v>
      </c>
      <c r="B42" s="83" t="s">
        <v>133</v>
      </c>
      <c r="C42" s="366" t="s">
        <v>134</v>
      </c>
    </row>
    <row r="43" spans="1:3" ht="16.5">
      <c r="A43" s="82" t="s">
        <v>77</v>
      </c>
      <c r="B43" s="83" t="s">
        <v>135</v>
      </c>
      <c r="C43" s="366"/>
    </row>
    <row r="44" spans="1:3" ht="16.5">
      <c r="A44" s="82" t="s">
        <v>98</v>
      </c>
      <c r="B44" s="83" t="s">
        <v>136</v>
      </c>
      <c r="C44" s="366"/>
    </row>
    <row r="45" spans="1:3" ht="16.5">
      <c r="A45" s="82" t="s">
        <v>77</v>
      </c>
      <c r="B45" s="83" t="s">
        <v>137</v>
      </c>
      <c r="C45" s="366"/>
    </row>
    <row r="46" spans="1:3" ht="16.5">
      <c r="A46" s="82" t="s">
        <v>98</v>
      </c>
      <c r="B46" s="83" t="s">
        <v>138</v>
      </c>
      <c r="C46" s="366" t="s">
        <v>139</v>
      </c>
    </row>
    <row r="47" spans="1:3" ht="16.5">
      <c r="A47" s="82" t="s">
        <v>98</v>
      </c>
      <c r="B47" s="83" t="s">
        <v>140</v>
      </c>
      <c r="C47" s="366"/>
    </row>
    <row r="48" spans="1:3" ht="16.5">
      <c r="A48" s="82" t="s">
        <v>98</v>
      </c>
      <c r="B48" s="83" t="s">
        <v>141</v>
      </c>
      <c r="C48" s="366"/>
    </row>
    <row r="49" spans="1:3" ht="16.5">
      <c r="A49" s="82" t="s">
        <v>98</v>
      </c>
      <c r="B49" s="83" t="s">
        <v>142</v>
      </c>
      <c r="C49" s="366"/>
    </row>
    <row r="50" spans="1:3" ht="16.5">
      <c r="A50" s="82" t="s">
        <v>98</v>
      </c>
      <c r="B50" s="83" t="s">
        <v>143</v>
      </c>
      <c r="C50" s="366" t="s">
        <v>144</v>
      </c>
    </row>
    <row r="51" spans="1:3" ht="16.5">
      <c r="A51" s="82" t="s">
        <v>77</v>
      </c>
      <c r="B51" s="83" t="s">
        <v>145</v>
      </c>
      <c r="C51" s="366"/>
    </row>
    <row r="52" spans="1:3" ht="16.5">
      <c r="A52" s="82" t="s">
        <v>98</v>
      </c>
      <c r="B52" s="83" t="s">
        <v>146</v>
      </c>
      <c r="C52" s="366"/>
    </row>
    <row r="53" spans="1:3" ht="16.5">
      <c r="A53" s="82" t="s">
        <v>77</v>
      </c>
      <c r="B53" s="83" t="s">
        <v>147</v>
      </c>
      <c r="C53" s="366"/>
    </row>
    <row r="54" spans="1:3" ht="16.5">
      <c r="A54" s="82" t="s">
        <v>98</v>
      </c>
      <c r="B54" s="83" t="s">
        <v>148</v>
      </c>
      <c r="C54" s="366"/>
    </row>
    <row r="55" spans="1:3" ht="16.5">
      <c r="A55" s="82" t="s">
        <v>77</v>
      </c>
      <c r="B55" s="83" t="s">
        <v>149</v>
      </c>
      <c r="C55" s="366"/>
    </row>
    <row r="56" spans="1:3" ht="16.5">
      <c r="A56" s="82" t="s">
        <v>77</v>
      </c>
      <c r="B56" s="83" t="s">
        <v>150</v>
      </c>
      <c r="C56" s="366"/>
    </row>
    <row r="57" spans="1:3" ht="16.5">
      <c r="A57" s="82" t="s">
        <v>77</v>
      </c>
      <c r="B57" s="83" t="s">
        <v>151</v>
      </c>
      <c r="C57" s="366" t="s">
        <v>152</v>
      </c>
    </row>
    <row r="58" spans="1:3" ht="16.5">
      <c r="A58" s="84" t="s">
        <v>98</v>
      </c>
      <c r="B58" s="83" t="s">
        <v>153</v>
      </c>
      <c r="C58" s="366"/>
    </row>
    <row r="59" spans="1:3" ht="16.5">
      <c r="A59" s="84" t="s">
        <v>98</v>
      </c>
      <c r="B59" s="83" t="s">
        <v>154</v>
      </c>
      <c r="C59" s="366"/>
    </row>
    <row r="60" spans="1:3" ht="16.5">
      <c r="A60" s="82" t="s">
        <v>77</v>
      </c>
      <c r="B60" s="83" t="s">
        <v>155</v>
      </c>
      <c r="C60" s="366"/>
    </row>
    <row r="61" spans="1:3" ht="16.5">
      <c r="A61" s="82" t="s">
        <v>77</v>
      </c>
      <c r="B61" s="83" t="s">
        <v>156</v>
      </c>
      <c r="C61" s="366"/>
    </row>
    <row r="62" spans="1:3" ht="16.5">
      <c r="A62" s="82" t="s">
        <v>77</v>
      </c>
      <c r="B62" s="83" t="s">
        <v>157</v>
      </c>
      <c r="C62" s="366"/>
    </row>
    <row r="63" spans="1:3" ht="16.5">
      <c r="A63" s="82" t="s">
        <v>77</v>
      </c>
      <c r="B63" s="83" t="s">
        <v>158</v>
      </c>
      <c r="C63" s="366"/>
    </row>
    <row r="64" spans="1:3" ht="16.5">
      <c r="A64" s="82" t="s">
        <v>77</v>
      </c>
      <c r="B64" s="83" t="s">
        <v>159</v>
      </c>
      <c r="C64" s="366"/>
    </row>
    <row r="65" spans="1:3" ht="16.5">
      <c r="A65" s="82" t="s">
        <v>77</v>
      </c>
      <c r="B65" s="83" t="s">
        <v>160</v>
      </c>
      <c r="C65" s="366"/>
    </row>
    <row r="66" spans="1:3" ht="16.5" customHeight="1">
      <c r="A66" s="82" t="s">
        <v>77</v>
      </c>
      <c r="B66" s="83" t="s">
        <v>161</v>
      </c>
      <c r="C66" s="366"/>
    </row>
    <row r="67" spans="1:3" ht="16.5">
      <c r="A67" s="84" t="s">
        <v>98</v>
      </c>
      <c r="B67" s="83" t="s">
        <v>162</v>
      </c>
      <c r="C67" s="366"/>
    </row>
    <row r="68" spans="1:3" ht="16.5">
      <c r="A68" s="82" t="s">
        <v>77</v>
      </c>
      <c r="B68" s="83" t="s">
        <v>163</v>
      </c>
      <c r="C68" s="366"/>
    </row>
    <row r="69" spans="1:3" ht="16.5">
      <c r="A69" s="85" t="s">
        <v>98</v>
      </c>
      <c r="B69" s="86" t="s">
        <v>113</v>
      </c>
      <c r="C69" s="367" t="s">
        <v>340</v>
      </c>
    </row>
    <row r="70" spans="1:3" ht="16.5">
      <c r="A70" s="85" t="s">
        <v>98</v>
      </c>
      <c r="B70" s="86" t="s">
        <v>114</v>
      </c>
      <c r="C70" s="367"/>
    </row>
    <row r="71" spans="1:3" ht="16.5">
      <c r="A71" s="85" t="s">
        <v>98</v>
      </c>
      <c r="B71" s="86" t="s">
        <v>115</v>
      </c>
      <c r="C71" s="367"/>
    </row>
    <row r="72" spans="1:3" ht="16.5">
      <c r="A72" s="82" t="s">
        <v>98</v>
      </c>
      <c r="B72" s="83" t="s">
        <v>164</v>
      </c>
      <c r="C72" s="366" t="s">
        <v>165</v>
      </c>
    </row>
    <row r="73" spans="1:3" ht="16.5">
      <c r="A73" s="82" t="s">
        <v>98</v>
      </c>
      <c r="B73" s="83" t="s">
        <v>166</v>
      </c>
      <c r="C73" s="366"/>
    </row>
    <row r="74" spans="1:3" ht="16.5">
      <c r="A74" s="82" t="s">
        <v>98</v>
      </c>
      <c r="B74" s="83" t="s">
        <v>167</v>
      </c>
      <c r="C74" s="366"/>
    </row>
    <row r="75" spans="1:3" ht="16.5">
      <c r="A75" s="82" t="s">
        <v>98</v>
      </c>
      <c r="B75" s="83" t="s">
        <v>168</v>
      </c>
      <c r="C75" s="368" t="s">
        <v>337</v>
      </c>
    </row>
    <row r="76" spans="1:3" ht="16.5">
      <c r="A76" s="82" t="s">
        <v>98</v>
      </c>
      <c r="B76" s="83" t="s">
        <v>169</v>
      </c>
      <c r="C76" s="368"/>
    </row>
    <row r="77" spans="1:3" ht="16.5">
      <c r="A77" s="82" t="s">
        <v>98</v>
      </c>
      <c r="B77" s="83" t="s">
        <v>170</v>
      </c>
      <c r="C77" s="368"/>
    </row>
    <row r="78" spans="1:3" ht="16.5">
      <c r="A78" s="82" t="s">
        <v>98</v>
      </c>
      <c r="B78" s="83" t="s">
        <v>171</v>
      </c>
      <c r="C78" s="368"/>
    </row>
    <row r="79" spans="1:3" ht="16.5">
      <c r="A79" s="82" t="s">
        <v>98</v>
      </c>
      <c r="B79" s="83" t="s">
        <v>172</v>
      </c>
      <c r="C79" s="368"/>
    </row>
    <row r="80" spans="1:3" ht="16.5">
      <c r="A80" s="82" t="s">
        <v>98</v>
      </c>
      <c r="B80" s="83" t="s">
        <v>173</v>
      </c>
      <c r="C80" s="368" t="s">
        <v>338</v>
      </c>
    </row>
    <row r="81" spans="1:3" ht="16.5">
      <c r="A81" s="82" t="s">
        <v>77</v>
      </c>
      <c r="B81" s="83" t="s">
        <v>174</v>
      </c>
      <c r="C81" s="368"/>
    </row>
    <row r="82" spans="1:3" ht="16.5">
      <c r="A82" s="82" t="s">
        <v>98</v>
      </c>
      <c r="B82" s="83" t="s">
        <v>175</v>
      </c>
      <c r="C82" s="368"/>
    </row>
    <row r="83" spans="1:3" ht="16.5">
      <c r="A83" s="82" t="s">
        <v>98</v>
      </c>
      <c r="B83" s="83" t="s">
        <v>176</v>
      </c>
      <c r="C83" s="368"/>
    </row>
    <row r="84" spans="1:3" ht="16.5">
      <c r="A84" s="82" t="s">
        <v>77</v>
      </c>
      <c r="B84" s="83" t="s">
        <v>177</v>
      </c>
      <c r="C84" s="368"/>
    </row>
    <row r="85" spans="1:3" ht="16.5">
      <c r="A85" s="82" t="s">
        <v>98</v>
      </c>
      <c r="B85" s="83" t="s">
        <v>178</v>
      </c>
      <c r="C85" s="368"/>
    </row>
    <row r="86" spans="1:3" ht="16.5">
      <c r="A86" s="82" t="s">
        <v>77</v>
      </c>
      <c r="B86" s="83" t="s">
        <v>179</v>
      </c>
      <c r="C86" s="368"/>
    </row>
    <row r="87" spans="1:3" ht="16.5">
      <c r="A87" s="82" t="s">
        <v>98</v>
      </c>
      <c r="B87" s="83" t="s">
        <v>180</v>
      </c>
      <c r="C87" s="368"/>
    </row>
    <row r="88" spans="1:3" ht="16.5">
      <c r="A88" s="82" t="s">
        <v>77</v>
      </c>
      <c r="B88" s="83" t="s">
        <v>181</v>
      </c>
      <c r="C88" s="368"/>
    </row>
    <row r="89" spans="1:3" ht="16.5">
      <c r="A89" s="82" t="s">
        <v>77</v>
      </c>
      <c r="B89" s="83" t="s">
        <v>182</v>
      </c>
      <c r="C89" s="227" t="s">
        <v>339</v>
      </c>
    </row>
    <row r="90" spans="1:3" ht="16.5">
      <c r="A90" s="82" t="s">
        <v>98</v>
      </c>
      <c r="B90" s="83" t="s">
        <v>183</v>
      </c>
      <c r="C90" s="366" t="s">
        <v>184</v>
      </c>
    </row>
    <row r="91" spans="1:3" ht="16.5">
      <c r="A91" s="82" t="s">
        <v>98</v>
      </c>
      <c r="B91" s="83" t="s">
        <v>185</v>
      </c>
      <c r="C91" s="366"/>
    </row>
    <row r="92" spans="1:3" ht="16.5">
      <c r="A92" s="82" t="s">
        <v>98</v>
      </c>
      <c r="B92" s="83" t="s">
        <v>186</v>
      </c>
      <c r="C92" s="366"/>
    </row>
    <row r="93" spans="1:3" ht="16.5">
      <c r="A93" s="82" t="s">
        <v>98</v>
      </c>
      <c r="B93" s="83" t="s">
        <v>187</v>
      </c>
      <c r="C93" s="366"/>
    </row>
    <row r="94" spans="1:3" ht="16.5">
      <c r="A94" s="82" t="s">
        <v>98</v>
      </c>
      <c r="B94" s="83" t="s">
        <v>188</v>
      </c>
      <c r="C94" s="366"/>
    </row>
    <row r="95" spans="1:3" ht="16.5">
      <c r="A95" s="82" t="s">
        <v>98</v>
      </c>
      <c r="B95" s="83" t="s">
        <v>189</v>
      </c>
      <c r="C95" s="366" t="s">
        <v>190</v>
      </c>
    </row>
    <row r="96" spans="1:3" ht="16.5">
      <c r="A96" s="82" t="s">
        <v>98</v>
      </c>
      <c r="B96" s="83" t="s">
        <v>191</v>
      </c>
      <c r="C96" s="366"/>
    </row>
    <row r="97" spans="1:3" ht="16.5">
      <c r="A97" s="82" t="s">
        <v>98</v>
      </c>
      <c r="B97" s="83" t="s">
        <v>192</v>
      </c>
      <c r="C97" s="366"/>
    </row>
    <row r="98" spans="1:3" ht="16.5">
      <c r="A98" s="82" t="s">
        <v>98</v>
      </c>
      <c r="B98" s="83" t="s">
        <v>193</v>
      </c>
      <c r="C98" s="366"/>
    </row>
    <row r="99" spans="1:3" ht="16.5">
      <c r="A99" s="82" t="s">
        <v>98</v>
      </c>
      <c r="B99" s="83" t="s">
        <v>194</v>
      </c>
      <c r="C99" s="366"/>
    </row>
    <row r="100" spans="1:3" ht="16.5">
      <c r="A100" s="84" t="s">
        <v>98</v>
      </c>
      <c r="B100" s="83" t="s">
        <v>195</v>
      </c>
      <c r="C100" s="366"/>
    </row>
    <row r="101" spans="1:3" ht="16.5">
      <c r="A101" s="84" t="s">
        <v>98</v>
      </c>
      <c r="B101" s="83" t="s">
        <v>196</v>
      </c>
      <c r="C101" s="366"/>
    </row>
    <row r="102" spans="1:3" ht="16.5">
      <c r="A102" s="84" t="s">
        <v>98</v>
      </c>
      <c r="B102" s="83" t="s">
        <v>197</v>
      </c>
      <c r="C102" s="366"/>
    </row>
    <row r="103" spans="1:3" ht="16.5">
      <c r="A103" s="84" t="s">
        <v>98</v>
      </c>
      <c r="B103" s="83" t="s">
        <v>198</v>
      </c>
      <c r="C103" s="366"/>
    </row>
    <row r="104" spans="1:3" ht="16.5">
      <c r="A104" s="82" t="s">
        <v>98</v>
      </c>
      <c r="B104" s="83" t="s">
        <v>199</v>
      </c>
      <c r="C104" s="146" t="s">
        <v>200</v>
      </c>
    </row>
  </sheetData>
  <mergeCells count="19">
    <mergeCell ref="C95:C103"/>
    <mergeCell ref="C72:C74"/>
    <mergeCell ref="C75:C79"/>
    <mergeCell ref="C80:C88"/>
    <mergeCell ref="C90:C94"/>
    <mergeCell ref="C2:C5"/>
    <mergeCell ref="C6:C8"/>
    <mergeCell ref="C9:C10"/>
    <mergeCell ref="C11:C18"/>
    <mergeCell ref="C19:C20"/>
    <mergeCell ref="C23:C25"/>
    <mergeCell ref="C69:C71"/>
    <mergeCell ref="C27:C28"/>
    <mergeCell ref="C31:C41"/>
    <mergeCell ref="C29:C30"/>
    <mergeCell ref="C42:C45"/>
    <mergeCell ref="C46:C49"/>
    <mergeCell ref="C50:C56"/>
    <mergeCell ref="C57:C68"/>
  </mergeCells>
  <phoneticPr fontId="4" type="noConversion"/>
  <conditionalFormatting sqref="B1">
    <cfRule type="duplicateValues" dxfId="311" priority="152"/>
    <cfRule type="duplicateValues" dxfId="310" priority="187"/>
    <cfRule type="duplicateValues" dxfId="309" priority="222"/>
  </conditionalFormatting>
  <conditionalFormatting sqref="B2">
    <cfRule type="duplicateValues" dxfId="308" priority="2"/>
    <cfRule type="duplicateValues" dxfId="307" priority="28"/>
    <cfRule type="duplicateValues" dxfId="306" priority="54"/>
    <cfRule type="duplicateValues" dxfId="305" priority="80"/>
    <cfRule type="duplicateValues" dxfId="304" priority="106"/>
  </conditionalFormatting>
  <conditionalFormatting sqref="B3">
    <cfRule type="duplicateValues" dxfId="303" priority="276"/>
    <cfRule type="duplicateValues" dxfId="302" priority="310"/>
  </conditionalFormatting>
  <conditionalFormatting sqref="B4">
    <cfRule type="duplicateValues" dxfId="301" priority="275"/>
    <cfRule type="duplicateValues" dxfId="300" priority="309"/>
  </conditionalFormatting>
  <conditionalFormatting sqref="B5">
    <cfRule type="duplicateValues" dxfId="299" priority="274"/>
    <cfRule type="duplicateValues" dxfId="298" priority="308"/>
  </conditionalFormatting>
  <conditionalFormatting sqref="B6">
    <cfRule type="duplicateValues" dxfId="297" priority="273"/>
    <cfRule type="duplicateValues" dxfId="296" priority="307"/>
  </conditionalFormatting>
  <conditionalFormatting sqref="B7">
    <cfRule type="duplicateValues" dxfId="295" priority="272"/>
    <cfRule type="duplicateValues" dxfId="294" priority="306"/>
  </conditionalFormatting>
  <conditionalFormatting sqref="B8">
    <cfRule type="duplicateValues" dxfId="293" priority="271"/>
    <cfRule type="duplicateValues" dxfId="292" priority="305"/>
  </conditionalFormatting>
  <conditionalFormatting sqref="B9">
    <cfRule type="duplicateValues" dxfId="291" priority="270"/>
    <cfRule type="duplicateValues" dxfId="290" priority="304"/>
  </conditionalFormatting>
  <conditionalFormatting sqref="B10">
    <cfRule type="duplicateValues" dxfId="289" priority="269"/>
    <cfRule type="duplicateValues" dxfId="288" priority="303"/>
  </conditionalFormatting>
  <conditionalFormatting sqref="B11">
    <cfRule type="duplicateValues" dxfId="287" priority="268"/>
    <cfRule type="duplicateValues" dxfId="286" priority="302"/>
  </conditionalFormatting>
  <conditionalFormatting sqref="B12">
    <cfRule type="duplicateValues" dxfId="285" priority="267"/>
    <cfRule type="duplicateValues" dxfId="284" priority="301"/>
  </conditionalFormatting>
  <conditionalFormatting sqref="B13">
    <cfRule type="duplicateValues" dxfId="283" priority="266"/>
    <cfRule type="duplicateValues" dxfId="282" priority="300"/>
  </conditionalFormatting>
  <conditionalFormatting sqref="B14">
    <cfRule type="duplicateValues" dxfId="281" priority="265"/>
    <cfRule type="duplicateValues" dxfId="280" priority="299"/>
  </conditionalFormatting>
  <conditionalFormatting sqref="B15">
    <cfRule type="duplicateValues" dxfId="279" priority="264"/>
    <cfRule type="duplicateValues" dxfId="278" priority="298"/>
  </conditionalFormatting>
  <conditionalFormatting sqref="B16">
    <cfRule type="duplicateValues" dxfId="277" priority="263"/>
    <cfRule type="duplicateValues" dxfId="276" priority="297"/>
  </conditionalFormatting>
  <conditionalFormatting sqref="B17">
    <cfRule type="duplicateValues" dxfId="275" priority="262"/>
    <cfRule type="duplicateValues" dxfId="274" priority="296"/>
  </conditionalFormatting>
  <conditionalFormatting sqref="B18">
    <cfRule type="duplicateValues" dxfId="273" priority="261"/>
    <cfRule type="duplicateValues" dxfId="272" priority="295"/>
  </conditionalFormatting>
  <conditionalFormatting sqref="B19">
    <cfRule type="duplicateValues" dxfId="271" priority="260"/>
    <cfRule type="duplicateValues" dxfId="270" priority="294"/>
  </conditionalFormatting>
  <conditionalFormatting sqref="B20">
    <cfRule type="duplicateValues" dxfId="269" priority="259"/>
    <cfRule type="duplicateValues" dxfId="268" priority="293"/>
  </conditionalFormatting>
  <conditionalFormatting sqref="B21">
    <cfRule type="duplicateValues" dxfId="267" priority="258"/>
    <cfRule type="duplicateValues" dxfId="266" priority="292"/>
  </conditionalFormatting>
  <conditionalFormatting sqref="B22">
    <cfRule type="duplicateValues" dxfId="265" priority="257"/>
    <cfRule type="duplicateValues" dxfId="264" priority="291"/>
  </conditionalFormatting>
  <conditionalFormatting sqref="B23">
    <cfRule type="duplicateValues" dxfId="263" priority="256"/>
    <cfRule type="duplicateValues" dxfId="262" priority="290"/>
  </conditionalFormatting>
  <conditionalFormatting sqref="B24">
    <cfRule type="duplicateValues" dxfId="261" priority="255"/>
    <cfRule type="duplicateValues" dxfId="260" priority="289"/>
  </conditionalFormatting>
  <conditionalFormatting sqref="B25">
    <cfRule type="duplicateValues" dxfId="259" priority="254"/>
    <cfRule type="duplicateValues" dxfId="258" priority="288"/>
  </conditionalFormatting>
  <conditionalFormatting sqref="B26">
    <cfRule type="duplicateValues" dxfId="257" priority="253"/>
    <cfRule type="duplicateValues" dxfId="256" priority="287"/>
  </conditionalFormatting>
  <conditionalFormatting sqref="B69">
    <cfRule type="duplicateValues" dxfId="255" priority="252"/>
    <cfRule type="duplicateValues" dxfId="254" priority="286"/>
  </conditionalFormatting>
  <conditionalFormatting sqref="B70">
    <cfRule type="duplicateValues" dxfId="253" priority="251"/>
    <cfRule type="duplicateValues" dxfId="252" priority="285"/>
  </conditionalFormatting>
  <conditionalFormatting sqref="B71">
    <cfRule type="duplicateValues" dxfId="251" priority="250"/>
    <cfRule type="duplicateValues" dxfId="250" priority="284"/>
  </conditionalFormatting>
  <conditionalFormatting sqref="B27">
    <cfRule type="duplicateValues" dxfId="249" priority="249"/>
    <cfRule type="duplicateValues" dxfId="248" priority="283"/>
  </conditionalFormatting>
  <conditionalFormatting sqref="B28">
    <cfRule type="duplicateValues" dxfId="247" priority="248"/>
    <cfRule type="duplicateValues" dxfId="246" priority="282"/>
  </conditionalFormatting>
  <conditionalFormatting sqref="B31">
    <cfRule type="duplicateValues" dxfId="245" priority="247"/>
    <cfRule type="duplicateValues" dxfId="244" priority="281"/>
  </conditionalFormatting>
  <conditionalFormatting sqref="B32">
    <cfRule type="duplicateValues" dxfId="243" priority="246"/>
    <cfRule type="duplicateValues" dxfId="242" priority="280"/>
  </conditionalFormatting>
  <conditionalFormatting sqref="B33">
    <cfRule type="duplicateValues" dxfId="241" priority="245"/>
    <cfRule type="duplicateValues" dxfId="240" priority="279"/>
  </conditionalFormatting>
  <conditionalFormatting sqref="B34">
    <cfRule type="duplicateValues" dxfId="239" priority="244"/>
    <cfRule type="duplicateValues" dxfId="238" priority="278"/>
  </conditionalFormatting>
  <conditionalFormatting sqref="B35">
    <cfRule type="duplicateValues" dxfId="237" priority="243"/>
    <cfRule type="duplicateValues" dxfId="236" priority="277"/>
  </conditionalFormatting>
  <conditionalFormatting sqref="B37">
    <cfRule type="duplicateValues" dxfId="235" priority="151"/>
    <cfRule type="duplicateValues" dxfId="234" priority="186"/>
    <cfRule type="duplicateValues" dxfId="233" priority="221"/>
  </conditionalFormatting>
  <conditionalFormatting sqref="B38">
    <cfRule type="duplicateValues" dxfId="232" priority="150"/>
    <cfRule type="duplicateValues" dxfId="231" priority="185"/>
    <cfRule type="duplicateValues" dxfId="230" priority="220"/>
  </conditionalFormatting>
  <conditionalFormatting sqref="B39">
    <cfRule type="duplicateValues" dxfId="229" priority="149"/>
    <cfRule type="duplicateValues" dxfId="228" priority="184"/>
    <cfRule type="duplicateValues" dxfId="227" priority="219"/>
  </conditionalFormatting>
  <conditionalFormatting sqref="B40">
    <cfRule type="duplicateValues" dxfId="226" priority="148"/>
    <cfRule type="duplicateValues" dxfId="225" priority="183"/>
    <cfRule type="duplicateValues" dxfId="224" priority="218"/>
  </conditionalFormatting>
  <conditionalFormatting sqref="B41">
    <cfRule type="duplicateValues" dxfId="223" priority="147"/>
    <cfRule type="duplicateValues" dxfId="222" priority="182"/>
    <cfRule type="duplicateValues" dxfId="221" priority="217"/>
  </conditionalFormatting>
  <conditionalFormatting sqref="B29">
    <cfRule type="duplicateValues" dxfId="220" priority="146"/>
    <cfRule type="duplicateValues" dxfId="219" priority="181"/>
    <cfRule type="duplicateValues" dxfId="218" priority="216"/>
  </conditionalFormatting>
  <conditionalFormatting sqref="B30">
    <cfRule type="duplicateValues" dxfId="217" priority="145"/>
    <cfRule type="duplicateValues" dxfId="216" priority="180"/>
    <cfRule type="duplicateValues" dxfId="215" priority="215"/>
  </conditionalFormatting>
  <conditionalFormatting sqref="B42">
    <cfRule type="duplicateValues" dxfId="214" priority="144"/>
    <cfRule type="duplicateValues" dxfId="213" priority="179"/>
    <cfRule type="duplicateValues" dxfId="212" priority="214"/>
  </conditionalFormatting>
  <conditionalFormatting sqref="B43">
    <cfRule type="duplicateValues" dxfId="211" priority="143"/>
    <cfRule type="duplicateValues" dxfId="210" priority="178"/>
    <cfRule type="duplicateValues" dxfId="209" priority="213"/>
  </conditionalFormatting>
  <conditionalFormatting sqref="B44">
    <cfRule type="duplicateValues" dxfId="208" priority="142"/>
    <cfRule type="duplicateValues" dxfId="207" priority="177"/>
    <cfRule type="duplicateValues" dxfId="206" priority="212"/>
  </conditionalFormatting>
  <conditionalFormatting sqref="B45">
    <cfRule type="duplicateValues" dxfId="205" priority="141"/>
    <cfRule type="duplicateValues" dxfId="204" priority="176"/>
    <cfRule type="duplicateValues" dxfId="203" priority="211"/>
  </conditionalFormatting>
  <conditionalFormatting sqref="B46">
    <cfRule type="duplicateValues" dxfId="202" priority="140"/>
    <cfRule type="duplicateValues" dxfId="201" priority="175"/>
    <cfRule type="duplicateValues" dxfId="200" priority="210"/>
  </conditionalFormatting>
  <conditionalFormatting sqref="B47">
    <cfRule type="duplicateValues" dxfId="199" priority="139"/>
    <cfRule type="duplicateValues" dxfId="198" priority="174"/>
    <cfRule type="duplicateValues" dxfId="197" priority="209"/>
  </conditionalFormatting>
  <conditionalFormatting sqref="B48">
    <cfRule type="duplicateValues" dxfId="196" priority="138"/>
    <cfRule type="duplicateValues" dxfId="195" priority="173"/>
    <cfRule type="duplicateValues" dxfId="194" priority="208"/>
  </conditionalFormatting>
  <conditionalFormatting sqref="B57">
    <cfRule type="duplicateValues" dxfId="193" priority="171"/>
    <cfRule type="duplicateValues" dxfId="192" priority="206"/>
    <cfRule type="duplicateValues" dxfId="191" priority="241"/>
  </conditionalFormatting>
  <conditionalFormatting sqref="B58">
    <cfRule type="duplicateValues" dxfId="190" priority="170"/>
    <cfRule type="duplicateValues" dxfId="189" priority="205"/>
    <cfRule type="duplicateValues" dxfId="188" priority="240"/>
  </conditionalFormatting>
  <conditionalFormatting sqref="B59">
    <cfRule type="duplicateValues" dxfId="187" priority="169"/>
    <cfRule type="duplicateValues" dxfId="186" priority="204"/>
    <cfRule type="duplicateValues" dxfId="185" priority="239"/>
  </conditionalFormatting>
  <conditionalFormatting sqref="B60">
    <cfRule type="duplicateValues" dxfId="184" priority="168"/>
    <cfRule type="duplicateValues" dxfId="183" priority="203"/>
    <cfRule type="duplicateValues" dxfId="182" priority="238"/>
  </conditionalFormatting>
  <conditionalFormatting sqref="B61">
    <cfRule type="duplicateValues" dxfId="181" priority="167"/>
    <cfRule type="duplicateValues" dxfId="180" priority="202"/>
    <cfRule type="duplicateValues" dxfId="179" priority="237"/>
  </conditionalFormatting>
  <conditionalFormatting sqref="B62">
    <cfRule type="duplicateValues" dxfId="178" priority="164"/>
    <cfRule type="duplicateValues" dxfId="177" priority="199"/>
    <cfRule type="duplicateValues" dxfId="176" priority="234"/>
  </conditionalFormatting>
  <conditionalFormatting sqref="B63">
    <cfRule type="duplicateValues" dxfId="175" priority="163"/>
    <cfRule type="duplicateValues" dxfId="174" priority="198"/>
    <cfRule type="duplicateValues" dxfId="173" priority="233"/>
  </conditionalFormatting>
  <conditionalFormatting sqref="B64">
    <cfRule type="duplicateValues" dxfId="172" priority="162"/>
    <cfRule type="duplicateValues" dxfId="171" priority="197"/>
    <cfRule type="duplicateValues" dxfId="170" priority="232"/>
  </conditionalFormatting>
  <conditionalFormatting sqref="B65">
    <cfRule type="duplicateValues" dxfId="169" priority="161"/>
    <cfRule type="duplicateValues" dxfId="168" priority="196"/>
    <cfRule type="duplicateValues" dxfId="167" priority="231"/>
  </conditionalFormatting>
  <conditionalFormatting sqref="B66">
    <cfRule type="duplicateValues" dxfId="166" priority="160"/>
    <cfRule type="duplicateValues" dxfId="165" priority="195"/>
    <cfRule type="duplicateValues" dxfId="164" priority="230"/>
  </conditionalFormatting>
  <conditionalFormatting sqref="B67">
    <cfRule type="duplicateValues" dxfId="163" priority="159"/>
    <cfRule type="duplicateValues" dxfId="162" priority="194"/>
    <cfRule type="duplicateValues" dxfId="161" priority="229"/>
  </conditionalFormatting>
  <conditionalFormatting sqref="B68">
    <cfRule type="duplicateValues" dxfId="160" priority="158"/>
    <cfRule type="duplicateValues" dxfId="159" priority="193"/>
    <cfRule type="duplicateValues" dxfId="158" priority="228"/>
  </conditionalFormatting>
  <conditionalFormatting sqref="B72">
    <cfRule type="duplicateValues" dxfId="157" priority="166"/>
    <cfRule type="duplicateValues" dxfId="156" priority="201"/>
    <cfRule type="duplicateValues" dxfId="155" priority="236"/>
  </conditionalFormatting>
  <conditionalFormatting sqref="B73">
    <cfRule type="duplicateValues" dxfId="154" priority="165"/>
    <cfRule type="duplicateValues" dxfId="153" priority="200"/>
    <cfRule type="duplicateValues" dxfId="152" priority="235"/>
  </conditionalFormatting>
  <conditionalFormatting sqref="B74">
    <cfRule type="duplicateValues" dxfId="151" priority="137"/>
    <cfRule type="duplicateValues" dxfId="150" priority="172"/>
    <cfRule type="duplicateValues" dxfId="149" priority="207"/>
  </conditionalFormatting>
  <conditionalFormatting sqref="B75">
    <cfRule type="duplicateValues" dxfId="148" priority="11"/>
    <cfRule type="duplicateValues" dxfId="147" priority="37"/>
    <cfRule type="duplicateValues" dxfId="146" priority="63"/>
    <cfRule type="duplicateValues" dxfId="145" priority="89"/>
    <cfRule type="duplicateValues" dxfId="144" priority="115"/>
  </conditionalFormatting>
  <conditionalFormatting sqref="B76">
    <cfRule type="duplicateValues" dxfId="143" priority="10"/>
    <cfRule type="duplicateValues" dxfId="142" priority="36"/>
    <cfRule type="duplicateValues" dxfId="141" priority="62"/>
    <cfRule type="duplicateValues" dxfId="140" priority="88"/>
    <cfRule type="duplicateValues" dxfId="139" priority="114"/>
  </conditionalFormatting>
  <conditionalFormatting sqref="B77">
    <cfRule type="duplicateValues" dxfId="138" priority="9"/>
    <cfRule type="duplicateValues" dxfId="137" priority="35"/>
    <cfRule type="duplicateValues" dxfId="136" priority="61"/>
    <cfRule type="duplicateValues" dxfId="135" priority="87"/>
    <cfRule type="duplicateValues" dxfId="134" priority="113"/>
  </conditionalFormatting>
  <conditionalFormatting sqref="B78">
    <cfRule type="duplicateValues" dxfId="133" priority="8"/>
    <cfRule type="duplicateValues" dxfId="132" priority="34"/>
    <cfRule type="duplicateValues" dxfId="131" priority="60"/>
    <cfRule type="duplicateValues" dxfId="130" priority="86"/>
    <cfRule type="duplicateValues" dxfId="129" priority="112"/>
  </conditionalFormatting>
  <conditionalFormatting sqref="B79">
    <cfRule type="duplicateValues" dxfId="128" priority="7"/>
    <cfRule type="duplicateValues" dxfId="127" priority="33"/>
    <cfRule type="duplicateValues" dxfId="126" priority="59"/>
    <cfRule type="duplicateValues" dxfId="125" priority="85"/>
    <cfRule type="duplicateValues" dxfId="124" priority="111"/>
  </conditionalFormatting>
  <conditionalFormatting sqref="B80">
    <cfRule type="duplicateValues" dxfId="123" priority="6"/>
    <cfRule type="duplicateValues" dxfId="122" priority="32"/>
    <cfRule type="duplicateValues" dxfId="121" priority="58"/>
    <cfRule type="duplicateValues" dxfId="120" priority="84"/>
    <cfRule type="duplicateValues" dxfId="119" priority="110"/>
  </conditionalFormatting>
  <conditionalFormatting sqref="B81">
    <cfRule type="duplicateValues" dxfId="118" priority="5"/>
    <cfRule type="duplicateValues" dxfId="117" priority="31"/>
    <cfRule type="duplicateValues" dxfId="116" priority="57"/>
    <cfRule type="duplicateValues" dxfId="115" priority="83"/>
    <cfRule type="duplicateValues" dxfId="114" priority="109"/>
  </conditionalFormatting>
  <conditionalFormatting sqref="B82">
    <cfRule type="duplicateValues" dxfId="113" priority="4"/>
    <cfRule type="duplicateValues" dxfId="112" priority="30"/>
    <cfRule type="duplicateValues" dxfId="111" priority="56"/>
    <cfRule type="duplicateValues" dxfId="110" priority="82"/>
    <cfRule type="duplicateValues" dxfId="109" priority="108"/>
  </conditionalFormatting>
  <conditionalFormatting sqref="B83">
    <cfRule type="duplicateValues" dxfId="108" priority="3"/>
    <cfRule type="duplicateValues" dxfId="107" priority="29"/>
    <cfRule type="duplicateValues" dxfId="106" priority="55"/>
    <cfRule type="duplicateValues" dxfId="105" priority="81"/>
    <cfRule type="duplicateValues" dxfId="104" priority="107"/>
  </conditionalFormatting>
  <conditionalFormatting sqref="B84">
    <cfRule type="duplicateValues" dxfId="103" priority="27"/>
    <cfRule type="duplicateValues" dxfId="102" priority="53"/>
    <cfRule type="duplicateValues" dxfId="101" priority="79"/>
    <cfRule type="duplicateValues" dxfId="100" priority="105"/>
    <cfRule type="duplicateValues" dxfId="99" priority="131"/>
  </conditionalFormatting>
  <conditionalFormatting sqref="B85">
    <cfRule type="duplicateValues" dxfId="98" priority="26"/>
    <cfRule type="duplicateValues" dxfId="97" priority="52"/>
    <cfRule type="duplicateValues" dxfId="96" priority="78"/>
    <cfRule type="duplicateValues" dxfId="95" priority="104"/>
    <cfRule type="duplicateValues" dxfId="94" priority="130"/>
  </conditionalFormatting>
  <conditionalFormatting sqref="B86">
    <cfRule type="duplicateValues" dxfId="93" priority="25"/>
    <cfRule type="duplicateValues" dxfId="92" priority="51"/>
    <cfRule type="duplicateValues" dxfId="91" priority="77"/>
    <cfRule type="duplicateValues" dxfId="90" priority="103"/>
    <cfRule type="duplicateValues" dxfId="89" priority="129"/>
  </conditionalFormatting>
  <conditionalFormatting sqref="B87">
    <cfRule type="duplicateValues" dxfId="88" priority="12"/>
    <cfRule type="duplicateValues" dxfId="87" priority="38"/>
    <cfRule type="duplicateValues" dxfId="86" priority="64"/>
    <cfRule type="duplicateValues" dxfId="85" priority="90"/>
    <cfRule type="duplicateValues" dxfId="84" priority="116"/>
  </conditionalFormatting>
  <conditionalFormatting sqref="B88">
    <cfRule type="duplicateValues" dxfId="83" priority="24"/>
    <cfRule type="duplicateValues" dxfId="82" priority="50"/>
    <cfRule type="duplicateValues" dxfId="81" priority="76"/>
    <cfRule type="duplicateValues" dxfId="80" priority="102"/>
    <cfRule type="duplicateValues" dxfId="79" priority="128"/>
  </conditionalFormatting>
  <conditionalFormatting sqref="B89">
    <cfRule type="duplicateValues" dxfId="78" priority="23"/>
    <cfRule type="duplicateValues" dxfId="77" priority="49"/>
    <cfRule type="duplicateValues" dxfId="76" priority="75"/>
    <cfRule type="duplicateValues" dxfId="75" priority="101"/>
    <cfRule type="duplicateValues" dxfId="74" priority="127"/>
  </conditionalFormatting>
  <conditionalFormatting sqref="B90">
    <cfRule type="duplicateValues" dxfId="73" priority="22"/>
    <cfRule type="duplicateValues" dxfId="72" priority="48"/>
    <cfRule type="duplicateValues" dxfId="71" priority="74"/>
    <cfRule type="duplicateValues" dxfId="70" priority="100"/>
    <cfRule type="duplicateValues" dxfId="69" priority="126"/>
  </conditionalFormatting>
  <conditionalFormatting sqref="B91">
    <cfRule type="duplicateValues" dxfId="68" priority="21"/>
    <cfRule type="duplicateValues" dxfId="67" priority="47"/>
    <cfRule type="duplicateValues" dxfId="66" priority="73"/>
    <cfRule type="duplicateValues" dxfId="65" priority="99"/>
    <cfRule type="duplicateValues" dxfId="64" priority="125"/>
  </conditionalFormatting>
  <conditionalFormatting sqref="B92">
    <cfRule type="duplicateValues" dxfId="63" priority="20"/>
    <cfRule type="duplicateValues" dxfId="62" priority="46"/>
    <cfRule type="duplicateValues" dxfId="61" priority="72"/>
    <cfRule type="duplicateValues" dxfId="60" priority="98"/>
    <cfRule type="duplicateValues" dxfId="59" priority="124"/>
  </conditionalFormatting>
  <conditionalFormatting sqref="B93">
    <cfRule type="duplicateValues" dxfId="58" priority="19"/>
    <cfRule type="duplicateValues" dxfId="57" priority="45"/>
    <cfRule type="duplicateValues" dxfId="56" priority="71"/>
    <cfRule type="duplicateValues" dxfId="55" priority="97"/>
    <cfRule type="duplicateValues" dxfId="54" priority="123"/>
  </conditionalFormatting>
  <conditionalFormatting sqref="B94">
    <cfRule type="duplicateValues" dxfId="53" priority="18"/>
    <cfRule type="duplicateValues" dxfId="52" priority="44"/>
    <cfRule type="duplicateValues" dxfId="51" priority="70"/>
    <cfRule type="duplicateValues" dxfId="50" priority="96"/>
    <cfRule type="duplicateValues" dxfId="49" priority="122"/>
  </conditionalFormatting>
  <conditionalFormatting sqref="B95">
    <cfRule type="duplicateValues" dxfId="48" priority="17"/>
    <cfRule type="duplicateValues" dxfId="47" priority="43"/>
    <cfRule type="duplicateValues" dxfId="46" priority="69"/>
    <cfRule type="duplicateValues" dxfId="45" priority="95"/>
    <cfRule type="duplicateValues" dxfId="44" priority="121"/>
  </conditionalFormatting>
  <conditionalFormatting sqref="B96">
    <cfRule type="duplicateValues" dxfId="43" priority="16"/>
    <cfRule type="duplicateValues" dxfId="42" priority="42"/>
    <cfRule type="duplicateValues" dxfId="41" priority="68"/>
    <cfRule type="duplicateValues" dxfId="40" priority="94"/>
    <cfRule type="duplicateValues" dxfId="39" priority="120"/>
  </conditionalFormatting>
  <conditionalFormatting sqref="B97">
    <cfRule type="duplicateValues" dxfId="38" priority="15"/>
    <cfRule type="duplicateValues" dxfId="37" priority="41"/>
    <cfRule type="duplicateValues" dxfId="36" priority="67"/>
    <cfRule type="duplicateValues" dxfId="35" priority="93"/>
    <cfRule type="duplicateValues" dxfId="34" priority="119"/>
  </conditionalFormatting>
  <conditionalFormatting sqref="B98">
    <cfRule type="duplicateValues" dxfId="33" priority="14"/>
    <cfRule type="duplicateValues" dxfId="32" priority="40"/>
    <cfRule type="duplicateValues" dxfId="31" priority="66"/>
    <cfRule type="duplicateValues" dxfId="30" priority="92"/>
    <cfRule type="duplicateValues" dxfId="29" priority="118"/>
  </conditionalFormatting>
  <conditionalFormatting sqref="B99">
    <cfRule type="duplicateValues" dxfId="28" priority="13"/>
    <cfRule type="duplicateValues" dxfId="27" priority="39"/>
    <cfRule type="duplicateValues" dxfId="26" priority="65"/>
    <cfRule type="duplicateValues" dxfId="25" priority="91"/>
    <cfRule type="duplicateValues" dxfId="24" priority="117"/>
  </conditionalFormatting>
  <conditionalFormatting sqref="B100">
    <cfRule type="duplicateValues" dxfId="23" priority="157"/>
    <cfRule type="duplicateValues" dxfId="22" priority="192"/>
    <cfRule type="duplicateValues" dxfId="21" priority="227"/>
  </conditionalFormatting>
  <conditionalFormatting sqref="B101">
    <cfRule type="duplicateValues" dxfId="20" priority="156"/>
    <cfRule type="duplicateValues" dxfId="19" priority="191"/>
    <cfRule type="duplicateValues" dxfId="18" priority="226"/>
  </conditionalFormatting>
  <conditionalFormatting sqref="B102">
    <cfRule type="duplicateValues" dxfId="17" priority="155"/>
    <cfRule type="duplicateValues" dxfId="16" priority="190"/>
    <cfRule type="duplicateValues" dxfId="15" priority="225"/>
  </conditionalFormatting>
  <conditionalFormatting sqref="B103">
    <cfRule type="duplicateValues" dxfId="14" priority="154"/>
    <cfRule type="duplicateValues" dxfId="13" priority="189"/>
    <cfRule type="duplicateValues" dxfId="12" priority="224"/>
  </conditionalFormatting>
  <conditionalFormatting sqref="B104">
    <cfRule type="duplicateValues" dxfId="11" priority="153"/>
    <cfRule type="duplicateValues" dxfId="10" priority="188"/>
    <cfRule type="duplicateValues" dxfId="9" priority="223"/>
  </conditionalFormatting>
  <conditionalFormatting sqref="B1:B65536">
    <cfRule type="duplicateValues" dxfId="8" priority="1"/>
  </conditionalFormatting>
  <conditionalFormatting sqref="B105:B65536">
    <cfRule type="duplicateValues" dxfId="7" priority="311"/>
    <cfRule type="duplicateValues" dxfId="6" priority="312"/>
  </conditionalFormatting>
  <conditionalFormatting sqref="B1 B3:B74 B100:B65536">
    <cfRule type="duplicateValues" dxfId="5" priority="132"/>
    <cfRule type="duplicateValues" dxfId="4" priority="133"/>
  </conditionalFormatting>
  <conditionalFormatting sqref="B105:B65536 B3:B28 B69:B71 B31:B35">
    <cfRule type="duplicateValues" dxfId="3" priority="242"/>
  </conditionalFormatting>
  <conditionalFormatting sqref="B49:B56 B36">
    <cfRule type="duplicateValues" dxfId="2" priority="134"/>
    <cfRule type="duplicateValues" dxfId="1" priority="135"/>
    <cfRule type="duplicateValues" dxfId="0" priority="13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23.8.17含税-德州-隋总</vt:lpstr>
      <vt:lpstr>23.8.17未税-德州2</vt:lpstr>
      <vt:lpstr>23.8.29未税单价-惠州</vt:lpstr>
      <vt:lpstr>23.8.29未税成本-惠州</vt:lpstr>
      <vt:lpstr>隋总提供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2023-08-29T08:57:08Z</dcterms:modified>
</cp:coreProperties>
</file>