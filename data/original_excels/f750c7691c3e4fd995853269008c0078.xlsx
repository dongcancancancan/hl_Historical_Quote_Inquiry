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5465AD33-1E2E-44CC-AFAD-4F2D3886E1E3}" xr6:coauthVersionLast="47" xr6:coauthVersionMax="47" xr10:uidLastSave="{00000000-0000-0000-0000-000000000000}"/>
  <bookViews>
    <workbookView xWindow="-120" yWindow="-120" windowWidth="29040" windowHeight="15840" firstSheet="3" activeTab="11" xr2:uid="{00000000-000D-0000-FFFF-FFFF00000000}"/>
  </bookViews>
  <sheets>
    <sheet name="23.07.26" sheetId="1" r:id="rId1"/>
    <sheet name="23.08.05" sheetId="2" r:id="rId2"/>
    <sheet name="23.08.12" sheetId="3" r:id="rId3"/>
    <sheet name="23.08.15" sheetId="4" r:id="rId4"/>
    <sheet name="23.09.04" sheetId="5" r:id="rId5"/>
    <sheet name="24.1.24" sheetId="6" r:id="rId6"/>
    <sheet name="24.12.20" sheetId="7" r:id="rId7"/>
    <sheet name="25.2.28东莞弘皓" sheetId="8" r:id="rId8"/>
    <sheet name="25.6.23东莞弘皓" sheetId="9" r:id="rId9"/>
    <sheet name="25.7.7东莞弘皓" sheetId="10" r:id="rId10"/>
    <sheet name="25.8.18东莞弘皓" sheetId="11" r:id="rId11"/>
    <sheet name="26.1.9东莞弘皓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2" l="1"/>
  <c r="K11" i="12"/>
  <c r="H8" i="12" l="1"/>
  <c r="H10" i="12"/>
  <c r="C20" i="12"/>
  <c r="E16" i="12" l="1"/>
  <c r="B16" i="12"/>
  <c r="B15" i="12"/>
  <c r="E15" i="12" s="1"/>
  <c r="B14" i="12"/>
  <c r="E14" i="12" s="1"/>
  <c r="B13" i="12"/>
  <c r="E13" i="12" s="1"/>
  <c r="I10" i="12"/>
  <c r="G10" i="12"/>
  <c r="G9" i="12"/>
  <c r="I9" i="12" s="1"/>
  <c r="I8" i="12"/>
  <c r="G8" i="12"/>
  <c r="I7" i="12"/>
  <c r="H13" i="12" s="1"/>
  <c r="G7" i="12"/>
  <c r="G11" i="12" s="1"/>
  <c r="I13" i="12" l="1"/>
  <c r="H15" i="12"/>
  <c r="I15" i="12" s="1"/>
  <c r="I11" i="12"/>
  <c r="H14" i="12"/>
  <c r="I14" i="12" s="1"/>
  <c r="H16" i="12" l="1"/>
  <c r="I16" i="12" s="1"/>
  <c r="I17" i="12" s="1"/>
  <c r="B11" i="12"/>
  <c r="H20" i="12" l="1"/>
  <c r="H22" i="12" s="1"/>
  <c r="I20" i="12" l="1"/>
  <c r="I22" i="12" s="1"/>
  <c r="J11" i="12" s="1"/>
  <c r="H7" i="11"/>
  <c r="H9" i="11"/>
  <c r="H8" i="11"/>
  <c r="I8" i="11"/>
  <c r="P19" i="11"/>
  <c r="R15" i="11"/>
  <c r="O15" i="11"/>
  <c r="R14" i="11"/>
  <c r="O14" i="11"/>
  <c r="O13" i="11"/>
  <c r="R13" i="11" s="1"/>
  <c r="R12" i="11"/>
  <c r="O12" i="11"/>
  <c r="U9" i="11"/>
  <c r="T9" i="11"/>
  <c r="V9" i="11" s="1"/>
  <c r="V8" i="11"/>
  <c r="U8" i="11"/>
  <c r="T8" i="11"/>
  <c r="U7" i="11"/>
  <c r="T7" i="11"/>
  <c r="T10" i="11" s="1"/>
  <c r="X10" i="11" s="1"/>
  <c r="C19" i="11"/>
  <c r="K10" i="11"/>
  <c r="B15" i="11"/>
  <c r="E15" i="11" s="1"/>
  <c r="B14" i="11"/>
  <c r="E14" i="11" s="1"/>
  <c r="B13" i="11"/>
  <c r="E13" i="11" s="1"/>
  <c r="B12" i="11"/>
  <c r="E12" i="11" s="1"/>
  <c r="G9" i="11"/>
  <c r="G8" i="11"/>
  <c r="G7" i="11"/>
  <c r="G10" i="11" s="1"/>
  <c r="I9" i="11" l="1"/>
  <c r="V7" i="11"/>
  <c r="I7" i="11"/>
  <c r="H13" i="11" s="1"/>
  <c r="I13" i="11" s="1"/>
  <c r="H14" i="11" l="1"/>
  <c r="I14" i="11" s="1"/>
  <c r="U12" i="11"/>
  <c r="V12" i="11" s="1"/>
  <c r="V10" i="11"/>
  <c r="U14" i="11"/>
  <c r="V14" i="11" s="1"/>
  <c r="U13" i="11"/>
  <c r="V13" i="11" s="1"/>
  <c r="H12" i="11"/>
  <c r="I12" i="11" s="1"/>
  <c r="I10" i="11"/>
  <c r="U15" i="11" l="1"/>
  <c r="V15" i="11" s="1"/>
  <c r="V16" i="11" s="1"/>
  <c r="U19" i="11" s="1"/>
  <c r="O10" i="11"/>
  <c r="H15" i="11"/>
  <c r="I15" i="11" s="1"/>
  <c r="I16" i="11" s="1"/>
  <c r="B10" i="11"/>
  <c r="U21" i="11" l="1"/>
  <c r="V19" i="11"/>
  <c r="H19" i="11"/>
  <c r="H21" i="11" s="1"/>
  <c r="H31" i="10"/>
  <c r="H30" i="10"/>
  <c r="H29" i="10"/>
  <c r="C41" i="10"/>
  <c r="B37" i="10"/>
  <c r="E37" i="10" s="1"/>
  <c r="B36" i="10"/>
  <c r="E36" i="10" s="1"/>
  <c r="B35" i="10"/>
  <c r="E35" i="10" s="1"/>
  <c r="B34" i="10"/>
  <c r="E34" i="10" s="1"/>
  <c r="G31" i="10"/>
  <c r="G30" i="10"/>
  <c r="G29" i="10"/>
  <c r="G32" i="10" s="1"/>
  <c r="K32" i="10" s="1"/>
  <c r="I19" i="11" l="1"/>
  <c r="I21" i="11" s="1"/>
  <c r="V21" i="11"/>
  <c r="W10" i="11" s="1"/>
  <c r="I30" i="10"/>
  <c r="I31" i="10"/>
  <c r="I29" i="10"/>
  <c r="J10" i="11" l="1"/>
  <c r="K21" i="11"/>
  <c r="H36" i="10"/>
  <c r="I36" i="10" s="1"/>
  <c r="H34" i="10"/>
  <c r="I34" i="10" s="1"/>
  <c r="I32" i="10"/>
  <c r="H35" i="10"/>
  <c r="I35" i="10" s="1"/>
  <c r="H37" i="10" l="1"/>
  <c r="I37" i="10" s="1"/>
  <c r="I38" i="10" s="1"/>
  <c r="B32" i="10"/>
  <c r="H41" i="10" l="1"/>
  <c r="I41" i="10" s="1"/>
  <c r="H43" i="10" l="1"/>
  <c r="I43" i="10" s="1"/>
  <c r="J32" i="10" s="1"/>
  <c r="H8" i="10" l="1"/>
  <c r="H10" i="10"/>
  <c r="H7" i="10"/>
  <c r="C20" i="10"/>
  <c r="B16" i="10"/>
  <c r="E16" i="10" s="1"/>
  <c r="B15" i="10"/>
  <c r="E15" i="10" s="1"/>
  <c r="B14" i="10"/>
  <c r="E14" i="10" s="1"/>
  <c r="B13" i="10"/>
  <c r="E13" i="10" s="1"/>
  <c r="G11" i="10"/>
  <c r="K11" i="10" s="1"/>
  <c r="G10" i="10"/>
  <c r="G9" i="10"/>
  <c r="I9" i="10" s="1"/>
  <c r="G8" i="10"/>
  <c r="I8" i="10" s="1"/>
  <c r="G7" i="10"/>
  <c r="I10" i="10" l="1"/>
  <c r="I7" i="10"/>
  <c r="H15" i="10" s="1"/>
  <c r="I15" i="10" s="1"/>
  <c r="H14" i="10" l="1"/>
  <c r="I14" i="10" s="1"/>
  <c r="I11" i="10"/>
  <c r="H13" i="10"/>
  <c r="I13" i="10" s="1"/>
  <c r="H16" i="10"/>
  <c r="I16" i="10" s="1"/>
  <c r="I17" i="10" s="1"/>
  <c r="B11" i="10"/>
  <c r="H20" i="10" l="1"/>
  <c r="I20" i="10" s="1"/>
  <c r="H22" i="10" l="1"/>
  <c r="I22" i="10" s="1"/>
  <c r="J11" i="10" s="1"/>
  <c r="C19" i="9" l="1"/>
  <c r="H7" i="9"/>
  <c r="B15" i="9"/>
  <c r="E15" i="9" s="1"/>
  <c r="B14" i="9"/>
  <c r="E14" i="9" s="1"/>
  <c r="B13" i="9"/>
  <c r="E13" i="9" s="1"/>
  <c r="B12" i="9"/>
  <c r="E12" i="9" s="1"/>
  <c r="G9" i="9"/>
  <c r="I9" i="9" s="1"/>
  <c r="G8" i="9"/>
  <c r="I8" i="9" s="1"/>
  <c r="G7" i="9"/>
  <c r="G10" i="9" s="1"/>
  <c r="K10" i="9" s="1"/>
  <c r="I7" i="9" l="1"/>
  <c r="H14" i="9" s="1"/>
  <c r="I14" i="9" s="1"/>
  <c r="H13" i="9" l="1"/>
  <c r="I13" i="9" s="1"/>
  <c r="I10" i="9"/>
  <c r="H12" i="9"/>
  <c r="I12" i="9" s="1"/>
  <c r="H15" i="9" l="1"/>
  <c r="I15" i="9" s="1"/>
  <c r="I16" i="9" s="1"/>
  <c r="B10" i="9"/>
  <c r="H19" i="9" l="1"/>
  <c r="H21" i="9" s="1"/>
  <c r="I19" i="9" l="1"/>
  <c r="I21" i="9" s="1"/>
  <c r="J10" i="9" s="1"/>
  <c r="C23" i="8"/>
  <c r="H11" i="8" l="1"/>
  <c r="H10" i="8"/>
  <c r="H9" i="8"/>
  <c r="H7" i="8"/>
  <c r="H8" i="8" s="1"/>
  <c r="B19" i="8"/>
  <c r="E19" i="8" s="1"/>
  <c r="B18" i="8"/>
  <c r="E18" i="8" s="1"/>
  <c r="E17" i="8"/>
  <c r="B17" i="8"/>
  <c r="B16" i="8"/>
  <c r="E16" i="8" s="1"/>
  <c r="E15" i="8"/>
  <c r="B14" i="8"/>
  <c r="E14" i="8" s="1"/>
  <c r="G11" i="8"/>
  <c r="I11" i="8" s="1"/>
  <c r="G10" i="8"/>
  <c r="I10" i="8" s="1"/>
  <c r="I9" i="8"/>
  <c r="G9" i="8"/>
  <c r="G8" i="8"/>
  <c r="G7" i="8"/>
  <c r="G12" i="8" s="1"/>
  <c r="K12" i="8" s="1"/>
  <c r="I7" i="8" l="1"/>
  <c r="H16" i="8" s="1"/>
  <c r="I16" i="8" s="1"/>
  <c r="I8" i="8"/>
  <c r="H17" i="8" s="1"/>
  <c r="I17" i="8" s="1"/>
  <c r="H14" i="8" l="1"/>
  <c r="I14" i="8" s="1"/>
  <c r="H15" i="8"/>
  <c r="I15" i="8" s="1"/>
  <c r="I12" i="8"/>
  <c r="B12" i="8" s="1"/>
  <c r="H19" i="8" l="1"/>
  <c r="I19" i="8" s="1"/>
  <c r="H18" i="8"/>
  <c r="I18" i="8" s="1"/>
  <c r="I20" i="8" s="1"/>
  <c r="H23" i="8" s="1"/>
  <c r="H25" i="8" s="1"/>
  <c r="I23" i="8" l="1"/>
  <c r="I25" i="8" s="1"/>
  <c r="Z21" i="7"/>
  <c r="Z42" i="7"/>
  <c r="R40" i="7"/>
  <c r="R38" i="7"/>
  <c r="Q36" i="7"/>
  <c r="T36" i="7" s="1"/>
  <c r="Q35" i="7"/>
  <c r="T35" i="7" s="1"/>
  <c r="Q34" i="7"/>
  <c r="T34" i="7" s="1"/>
  <c r="Q33" i="7"/>
  <c r="T33" i="7" s="1"/>
  <c r="W30" i="7"/>
  <c r="V30" i="7"/>
  <c r="X30" i="7" s="1"/>
  <c r="W29" i="7"/>
  <c r="V29" i="7"/>
  <c r="W28" i="7"/>
  <c r="V28" i="7"/>
  <c r="X28" i="7" s="1"/>
  <c r="R19" i="7"/>
  <c r="R17" i="7"/>
  <c r="Q15" i="7"/>
  <c r="T15" i="7" s="1"/>
  <c r="Q14" i="7"/>
  <c r="T14" i="7" s="1"/>
  <c r="Q13" i="7"/>
  <c r="T13" i="7" s="1"/>
  <c r="Q12" i="7"/>
  <c r="T12" i="7" s="1"/>
  <c r="W9" i="7"/>
  <c r="V9" i="7"/>
  <c r="X9" i="7" s="1"/>
  <c r="W8" i="7"/>
  <c r="V8" i="7"/>
  <c r="W7" i="7"/>
  <c r="V7" i="7"/>
  <c r="X7" i="7" s="1"/>
  <c r="H28" i="7"/>
  <c r="H7" i="7"/>
  <c r="H30" i="7"/>
  <c r="H29" i="7"/>
  <c r="H8" i="7"/>
  <c r="H9" i="7"/>
  <c r="J21" i="8" l="1"/>
  <c r="J12" i="8"/>
  <c r="V10" i="7"/>
  <c r="Z10" i="7" s="1"/>
  <c r="X8" i="7"/>
  <c r="X29" i="7"/>
  <c r="X31" i="7" s="1"/>
  <c r="W12" i="7"/>
  <c r="X12" i="7" s="1"/>
  <c r="X10" i="7"/>
  <c r="W33" i="7"/>
  <c r="X33" i="7" s="1"/>
  <c r="W13" i="7"/>
  <c r="X13" i="7" s="1"/>
  <c r="W14" i="7"/>
  <c r="X14" i="7" s="1"/>
  <c r="W34" i="7"/>
  <c r="X34" i="7" s="1"/>
  <c r="W35" i="7"/>
  <c r="X35" i="7" s="1"/>
  <c r="V31" i="7"/>
  <c r="Z31" i="7" s="1"/>
  <c r="C40" i="7"/>
  <c r="C38" i="7"/>
  <c r="B36" i="7"/>
  <c r="E36" i="7" s="1"/>
  <c r="B35" i="7"/>
  <c r="E35" i="7" s="1"/>
  <c r="B34" i="7"/>
  <c r="E34" i="7" s="1"/>
  <c r="B33" i="7"/>
  <c r="E33" i="7" s="1"/>
  <c r="G30" i="7"/>
  <c r="I30" i="7" s="1"/>
  <c r="G29" i="7"/>
  <c r="I29" i="7" s="1"/>
  <c r="G28" i="7"/>
  <c r="I28" i="7" s="1"/>
  <c r="C19" i="7"/>
  <c r="C17" i="7"/>
  <c r="B15" i="7"/>
  <c r="E15" i="7" s="1"/>
  <c r="B14" i="7"/>
  <c r="E14" i="7" s="1"/>
  <c r="B13" i="7"/>
  <c r="E13" i="7" s="1"/>
  <c r="B12" i="7"/>
  <c r="E12" i="7" s="1"/>
  <c r="G9" i="7"/>
  <c r="I9" i="7" s="1"/>
  <c r="G8" i="7"/>
  <c r="I8" i="7" s="1"/>
  <c r="G7" i="7"/>
  <c r="G10" i="7" l="1"/>
  <c r="K10" i="7" s="1"/>
  <c r="W36" i="7"/>
  <c r="X36" i="7" s="1"/>
  <c r="X37" i="7" s="1"/>
  <c r="Q31" i="7"/>
  <c r="Q10" i="7"/>
  <c r="W15" i="7"/>
  <c r="X15" i="7" s="1"/>
  <c r="X16" i="7" s="1"/>
  <c r="W19" i="7" s="1"/>
  <c r="I7" i="7"/>
  <c r="I10" i="7" s="1"/>
  <c r="I31" i="7"/>
  <c r="H33" i="7"/>
  <c r="I33" i="7" s="1"/>
  <c r="H34" i="7"/>
  <c r="I34" i="7" s="1"/>
  <c r="H35" i="7"/>
  <c r="I35" i="7" s="1"/>
  <c r="G31" i="7"/>
  <c r="K31" i="7" s="1"/>
  <c r="H10" i="6"/>
  <c r="H8" i="6"/>
  <c r="H7" i="6"/>
  <c r="W40" i="7" l="1"/>
  <c r="W42" i="7" s="1"/>
  <c r="W21" i="7"/>
  <c r="X19" i="7"/>
  <c r="H13" i="7"/>
  <c r="I13" i="7" s="1"/>
  <c r="H12" i="7"/>
  <c r="I12" i="7" s="1"/>
  <c r="H14" i="7"/>
  <c r="I14" i="7" s="1"/>
  <c r="B10" i="7"/>
  <c r="H15" i="7"/>
  <c r="I15" i="7" s="1"/>
  <c r="H36" i="7"/>
  <c r="I36" i="7" s="1"/>
  <c r="I37" i="7" s="1"/>
  <c r="B31" i="7"/>
  <c r="B16" i="6"/>
  <c r="E16" i="6" s="1"/>
  <c r="B15" i="6"/>
  <c r="E15" i="6" s="1"/>
  <c r="B14" i="6"/>
  <c r="E14" i="6" s="1"/>
  <c r="B13" i="6"/>
  <c r="E13" i="6" s="1"/>
  <c r="G10" i="6"/>
  <c r="I10" i="6" s="1"/>
  <c r="G9" i="6"/>
  <c r="I9" i="6" s="1"/>
  <c r="G8" i="6"/>
  <c r="I8" i="6" s="1"/>
  <c r="G7" i="6"/>
  <c r="I7" i="6" s="1"/>
  <c r="X21" i="7" l="1"/>
  <c r="Y10" i="7" s="1"/>
  <c r="X40" i="7"/>
  <c r="X42" i="7"/>
  <c r="Y31" i="7" s="1"/>
  <c r="H40" i="7"/>
  <c r="H42" i="7" s="1"/>
  <c r="I16" i="7"/>
  <c r="H19" i="7" s="1"/>
  <c r="H21" i="7" s="1"/>
  <c r="I40" i="7"/>
  <c r="I11" i="6"/>
  <c r="H13" i="6"/>
  <c r="I13" i="6" s="1"/>
  <c r="H14" i="6"/>
  <c r="I14" i="6" s="1"/>
  <c r="H15" i="6"/>
  <c r="I15" i="6" s="1"/>
  <c r="G11" i="6"/>
  <c r="K11" i="6" s="1"/>
  <c r="I42" i="7" l="1"/>
  <c r="J31" i="7" s="1"/>
  <c r="I19" i="7"/>
  <c r="I21" i="7" s="1"/>
  <c r="J10" i="7" s="1"/>
  <c r="B11" i="6"/>
  <c r="H16" i="6"/>
  <c r="I16" i="6" s="1"/>
  <c r="I17" i="6" s="1"/>
  <c r="H20" i="6" s="1"/>
  <c r="H22" i="6" l="1"/>
  <c r="I20" i="6"/>
  <c r="I22" i="6" l="1"/>
  <c r="J11" i="6" s="1"/>
  <c r="H30" i="1"/>
  <c r="C40" i="1"/>
  <c r="H28" i="1"/>
  <c r="H29" i="1"/>
  <c r="B36" i="1"/>
  <c r="E36" i="1" s="1"/>
  <c r="B35" i="1"/>
  <c r="E35" i="1" s="1"/>
  <c r="B34" i="1"/>
  <c r="E34" i="1" s="1"/>
  <c r="B33" i="1"/>
  <c r="E33" i="1" s="1"/>
  <c r="G30" i="1"/>
  <c r="G29" i="1"/>
  <c r="I29" i="1" s="1"/>
  <c r="G28" i="1"/>
  <c r="G31" i="1" l="1"/>
  <c r="K31" i="1" s="1"/>
  <c r="I30" i="1"/>
  <c r="I28" i="1"/>
  <c r="H35" i="1" s="1"/>
  <c r="I35" i="1" s="1"/>
  <c r="H34" i="5"/>
  <c r="H33" i="5"/>
  <c r="H10" i="5"/>
  <c r="H34" i="1" l="1"/>
  <c r="I34" i="1" s="1"/>
  <c r="H33" i="1"/>
  <c r="I33" i="1" s="1"/>
  <c r="I31" i="1"/>
  <c r="H32" i="5"/>
  <c r="H31" i="5"/>
  <c r="H8" i="5"/>
  <c r="H30" i="5"/>
  <c r="H29" i="5"/>
  <c r="H7" i="5"/>
  <c r="C48" i="5"/>
  <c r="C20" i="5"/>
  <c r="B44" i="5"/>
  <c r="E44" i="5" s="1"/>
  <c r="B43" i="5"/>
  <c r="E43" i="5" s="1"/>
  <c r="B42" i="5"/>
  <c r="E42" i="5" s="1"/>
  <c r="B41" i="5"/>
  <c r="E41" i="5" s="1"/>
  <c r="B40" i="5"/>
  <c r="E40" i="5" s="1"/>
  <c r="B39" i="5"/>
  <c r="E39" i="5" s="1"/>
  <c r="B38" i="5"/>
  <c r="E38" i="5" s="1"/>
  <c r="B37" i="5"/>
  <c r="E37" i="5" s="1"/>
  <c r="G34" i="5"/>
  <c r="I34" i="5" s="1"/>
  <c r="G33" i="5"/>
  <c r="I33" i="5" s="1"/>
  <c r="G32" i="5"/>
  <c r="G31" i="5"/>
  <c r="I31" i="5" s="1"/>
  <c r="G30" i="5"/>
  <c r="G29" i="5"/>
  <c r="G35" i="5" s="1"/>
  <c r="K35" i="5" s="1"/>
  <c r="B31" i="1" l="1"/>
  <c r="H36" i="1"/>
  <c r="I36" i="1" s="1"/>
  <c r="I37" i="1" s="1"/>
  <c r="I32" i="5"/>
  <c r="I30" i="5"/>
  <c r="H38" i="5" s="1"/>
  <c r="I38" i="5" s="1"/>
  <c r="I29" i="5"/>
  <c r="H41" i="5" s="1"/>
  <c r="I41" i="5" s="1"/>
  <c r="H40" i="1" l="1"/>
  <c r="H42" i="1" s="1"/>
  <c r="H40" i="5"/>
  <c r="I40" i="5" s="1"/>
  <c r="H37" i="5"/>
  <c r="I37" i="5" s="1"/>
  <c r="I35" i="5"/>
  <c r="H42" i="5"/>
  <c r="I42" i="5" s="1"/>
  <c r="H39" i="5"/>
  <c r="I39" i="5" s="1"/>
  <c r="I40" i="1" l="1"/>
  <c r="I42" i="1"/>
  <c r="J31" i="1" s="1"/>
  <c r="H43" i="5"/>
  <c r="I43" i="5" s="1"/>
  <c r="H44" i="5"/>
  <c r="I44" i="5" s="1"/>
  <c r="B35" i="5"/>
  <c r="I45" i="5" l="1"/>
  <c r="H48" i="5" s="1"/>
  <c r="H50" i="5" s="1"/>
  <c r="I48" i="5" l="1"/>
  <c r="I50" i="5" s="1"/>
  <c r="J35" i="5" s="1"/>
  <c r="B16" i="5" l="1"/>
  <c r="E16" i="5" s="1"/>
  <c r="B15" i="5"/>
  <c r="E15" i="5" s="1"/>
  <c r="B14" i="5"/>
  <c r="E14" i="5" s="1"/>
  <c r="B13" i="5"/>
  <c r="E13" i="5" s="1"/>
  <c r="G10" i="5"/>
  <c r="I10" i="5" s="1"/>
  <c r="I9" i="5"/>
  <c r="G8" i="5"/>
  <c r="I8" i="5" s="1"/>
  <c r="G7" i="5"/>
  <c r="G11" i="5" l="1"/>
  <c r="K11" i="5" s="1"/>
  <c r="I7" i="5"/>
  <c r="H15" i="5" s="1"/>
  <c r="I15" i="5" s="1"/>
  <c r="H13" i="5" l="1"/>
  <c r="I13" i="5" s="1"/>
  <c r="I11" i="5"/>
  <c r="H14" i="5"/>
  <c r="I14" i="5" s="1"/>
  <c r="B11" i="5" l="1"/>
  <c r="H16" i="5"/>
  <c r="I16" i="5" s="1"/>
  <c r="I17" i="5" s="1"/>
  <c r="H20" i="5" l="1"/>
  <c r="H22" i="5" s="1"/>
  <c r="I20" i="5" l="1"/>
  <c r="I22" i="5" s="1"/>
  <c r="J11" i="5" s="1"/>
  <c r="C23" i="4"/>
  <c r="C21" i="4"/>
  <c r="H8" i="4"/>
  <c r="H7" i="4"/>
  <c r="H11" i="4"/>
  <c r="H10" i="4"/>
  <c r="H9" i="4"/>
  <c r="B19" i="4"/>
  <c r="E19" i="4" s="1"/>
  <c r="B18" i="4"/>
  <c r="E18" i="4" s="1"/>
  <c r="B17" i="4"/>
  <c r="E17" i="4" s="1"/>
  <c r="B16" i="4"/>
  <c r="E16" i="4" s="1"/>
  <c r="B15" i="4"/>
  <c r="E15" i="4" s="1"/>
  <c r="B14" i="4"/>
  <c r="E14" i="4" s="1"/>
  <c r="G11" i="4"/>
  <c r="G10" i="4"/>
  <c r="G9" i="4"/>
  <c r="G8" i="4"/>
  <c r="G7" i="4"/>
  <c r="G12" i="4" l="1"/>
  <c r="K12" i="4" s="1"/>
  <c r="I10" i="4"/>
  <c r="I11" i="4"/>
  <c r="I7" i="4"/>
  <c r="H14" i="4" s="1"/>
  <c r="I14" i="4" s="1"/>
  <c r="I9" i="4"/>
  <c r="H16" i="4"/>
  <c r="I16" i="4" s="1"/>
  <c r="I8" i="4"/>
  <c r="H15" i="4" s="1"/>
  <c r="I15" i="4" s="1"/>
  <c r="I12" i="4" l="1"/>
  <c r="H18" i="4"/>
  <c r="I18" i="4" s="1"/>
  <c r="H17" i="4"/>
  <c r="I17" i="4" s="1"/>
  <c r="H19" i="4" l="1"/>
  <c r="I19" i="4" s="1"/>
  <c r="I20" i="4" s="1"/>
  <c r="B12" i="4"/>
  <c r="H23" i="4" l="1"/>
  <c r="I23" i="4" s="1"/>
  <c r="H25" i="4" l="1"/>
  <c r="I25" i="4" s="1"/>
  <c r="J12" i="4" s="1"/>
  <c r="K25" i="4" l="1"/>
  <c r="C23" i="3"/>
  <c r="C19" i="2"/>
  <c r="H8" i="3"/>
  <c r="H11" i="3"/>
  <c r="H10" i="3"/>
  <c r="H9" i="3"/>
  <c r="H7" i="3"/>
  <c r="C21" i="3"/>
  <c r="B19" i="3"/>
  <c r="E19" i="3" s="1"/>
  <c r="B18" i="3"/>
  <c r="E18" i="3" s="1"/>
  <c r="B17" i="3"/>
  <c r="E17" i="3" s="1"/>
  <c r="B16" i="3"/>
  <c r="E16" i="3" s="1"/>
  <c r="B15" i="3"/>
  <c r="E15" i="3" s="1"/>
  <c r="B14" i="3"/>
  <c r="E14" i="3" s="1"/>
  <c r="G11" i="3"/>
  <c r="G10" i="3"/>
  <c r="G9" i="3"/>
  <c r="G8" i="3"/>
  <c r="G7" i="3"/>
  <c r="I11" i="3" l="1"/>
  <c r="I8" i="3"/>
  <c r="H15" i="3" s="1"/>
  <c r="I15" i="3" s="1"/>
  <c r="G12" i="3"/>
  <c r="K12" i="3" s="1"/>
  <c r="I10" i="3"/>
  <c r="I7" i="3"/>
  <c r="H14" i="3"/>
  <c r="I14" i="3" s="1"/>
  <c r="I9" i="3"/>
  <c r="H9" i="2"/>
  <c r="C17" i="2"/>
  <c r="H8" i="2"/>
  <c r="H7" i="2"/>
  <c r="B15" i="2"/>
  <c r="E15" i="2" s="1"/>
  <c r="B14" i="2"/>
  <c r="E14" i="2" s="1"/>
  <c r="B13" i="2"/>
  <c r="E13" i="2" s="1"/>
  <c r="B12" i="2"/>
  <c r="E12" i="2" s="1"/>
  <c r="G9" i="2"/>
  <c r="I9" i="2" s="1"/>
  <c r="G8" i="2"/>
  <c r="G7" i="2"/>
  <c r="H17" i="3" l="1"/>
  <c r="I17" i="3" s="1"/>
  <c r="G10" i="2"/>
  <c r="K10" i="2" s="1"/>
  <c r="H18" i="3"/>
  <c r="I18" i="3" s="1"/>
  <c r="H16" i="3"/>
  <c r="I16" i="3" s="1"/>
  <c r="I12" i="3"/>
  <c r="I8" i="2"/>
  <c r="I7" i="2"/>
  <c r="C82" i="1"/>
  <c r="C61" i="1"/>
  <c r="H13" i="2" l="1"/>
  <c r="I13" i="2" s="1"/>
  <c r="H19" i="3"/>
  <c r="I19" i="3" s="1"/>
  <c r="I20" i="3" s="1"/>
  <c r="B12" i="3"/>
  <c r="H14" i="2"/>
  <c r="I14" i="2" s="1"/>
  <c r="I10" i="2"/>
  <c r="H12" i="2"/>
  <c r="I12" i="2" s="1"/>
  <c r="C80" i="1"/>
  <c r="C59" i="1"/>
  <c r="C19" i="1"/>
  <c r="H23" i="3" l="1"/>
  <c r="I23" i="3" s="1"/>
  <c r="B10" i="2"/>
  <c r="H15" i="2"/>
  <c r="I15" i="2" s="1"/>
  <c r="I16" i="2" s="1"/>
  <c r="H72" i="1"/>
  <c r="H51" i="1"/>
  <c r="H19" i="2" l="1"/>
  <c r="I19" i="2" s="1"/>
  <c r="H25" i="3"/>
  <c r="I25" i="3" s="1"/>
  <c r="J12" i="3" s="1"/>
  <c r="H71" i="1"/>
  <c r="H70" i="1"/>
  <c r="B78" i="1"/>
  <c r="E78" i="1" s="1"/>
  <c r="B77" i="1"/>
  <c r="E77" i="1" s="1"/>
  <c r="B76" i="1"/>
  <c r="E76" i="1" s="1"/>
  <c r="B75" i="1"/>
  <c r="E75" i="1" s="1"/>
  <c r="G72" i="1"/>
  <c r="I72" i="1" s="1"/>
  <c r="G71" i="1"/>
  <c r="I71" i="1" s="1"/>
  <c r="G70" i="1"/>
  <c r="H21" i="2" l="1"/>
  <c r="I21" i="2" s="1"/>
  <c r="J10" i="2" s="1"/>
  <c r="G73" i="1"/>
  <c r="K73" i="1" s="1"/>
  <c r="I70" i="1"/>
  <c r="H49" i="1"/>
  <c r="H50" i="1"/>
  <c r="H9" i="1"/>
  <c r="H8" i="1"/>
  <c r="H7" i="1"/>
  <c r="I73" i="1" l="1"/>
  <c r="H75" i="1"/>
  <c r="I75" i="1" s="1"/>
  <c r="H76" i="1"/>
  <c r="I76" i="1" s="1"/>
  <c r="H77" i="1"/>
  <c r="I77" i="1" s="1"/>
  <c r="B57" i="1"/>
  <c r="E57" i="1" s="1"/>
  <c r="B56" i="1"/>
  <c r="E56" i="1" s="1"/>
  <c r="B55" i="1"/>
  <c r="E55" i="1" s="1"/>
  <c r="B54" i="1"/>
  <c r="E54" i="1" s="1"/>
  <c r="G51" i="1"/>
  <c r="I51" i="1" s="1"/>
  <c r="G50" i="1"/>
  <c r="I50" i="1" s="1"/>
  <c r="G49" i="1"/>
  <c r="B15" i="1"/>
  <c r="E15" i="1" s="1"/>
  <c r="B14" i="1"/>
  <c r="E14" i="1" s="1"/>
  <c r="B13" i="1"/>
  <c r="E13" i="1" s="1"/>
  <c r="B12" i="1"/>
  <c r="E12" i="1" s="1"/>
  <c r="G9" i="1"/>
  <c r="I9" i="1" s="1"/>
  <c r="G8" i="1"/>
  <c r="I8" i="1" s="1"/>
  <c r="G7" i="1"/>
  <c r="I7" i="1" s="1"/>
  <c r="H12" i="1" s="1"/>
  <c r="G10" i="1" l="1"/>
  <c r="K10" i="1" s="1"/>
  <c r="G52" i="1"/>
  <c r="K52" i="1" s="1"/>
  <c r="B73" i="1"/>
  <c r="H78" i="1"/>
  <c r="I78" i="1" s="1"/>
  <c r="I79" i="1" s="1"/>
  <c r="H82" i="1" s="1"/>
  <c r="I12" i="1"/>
  <c r="I49" i="1"/>
  <c r="H55" i="1" s="1"/>
  <c r="I55" i="1" s="1"/>
  <c r="H14" i="1"/>
  <c r="I14" i="1" s="1"/>
  <c r="H13" i="1"/>
  <c r="I13" i="1" s="1"/>
  <c r="I10" i="1"/>
  <c r="H84" i="1" l="1"/>
  <c r="I82" i="1"/>
  <c r="H54" i="1"/>
  <c r="I54" i="1" s="1"/>
  <c r="I52" i="1"/>
  <c r="H56" i="1"/>
  <c r="I56" i="1" s="1"/>
  <c r="H15" i="1"/>
  <c r="I15" i="1" s="1"/>
  <c r="I16" i="1" s="1"/>
  <c r="B10" i="1"/>
  <c r="I84" i="1" l="1"/>
  <c r="J73" i="1" s="1"/>
  <c r="H19" i="1"/>
  <c r="H21" i="1" s="1"/>
  <c r="H57" i="1"/>
  <c r="I57" i="1" s="1"/>
  <c r="I58" i="1" s="1"/>
  <c r="B52" i="1"/>
  <c r="I19" i="1" l="1"/>
  <c r="I21" i="1" s="1"/>
  <c r="J10" i="1" s="1"/>
  <c r="H61" i="1"/>
  <c r="I61" i="1" s="1"/>
  <c r="H63" i="1" l="1"/>
  <c r="I63" i="1" s="1"/>
  <c r="J52" i="1" s="1"/>
</calcChain>
</file>

<file path=xl/sharedStrings.xml><?xml version="1.0" encoding="utf-8"?>
<sst xmlns="http://schemas.openxmlformats.org/spreadsheetml/2006/main" count="1409" uniqueCount="180">
  <si>
    <t>电线成本分析表</t>
    <phoneticPr fontId="4" type="noConversion"/>
  </si>
  <si>
    <t>编号:</t>
    <phoneticPr fontId="4" type="noConversion"/>
  </si>
  <si>
    <t>W006002</t>
    <phoneticPr fontId="8" type="noConversion"/>
  </si>
  <si>
    <t>客户：</t>
    <phoneticPr fontId="8" type="noConversion"/>
  </si>
  <si>
    <t>分析日期：</t>
    <phoneticPr fontId="8" type="noConversion"/>
  </si>
  <si>
    <t>结构：</t>
    <phoneticPr fontId="8" type="noConversion"/>
  </si>
  <si>
    <t>24/0.190BC*3C</t>
    <phoneticPr fontId="4" type="noConversion"/>
  </si>
  <si>
    <t>品名规格：</t>
    <phoneticPr fontId="8" type="noConversion"/>
  </si>
  <si>
    <r>
      <t>52RVV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H03VV-F 3x0.75mm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</t>
    </r>
    <phoneticPr fontId="4" type="noConversion"/>
  </si>
  <si>
    <t>序号</t>
    <phoneticPr fontId="8" type="noConversion"/>
  </si>
  <si>
    <t>制程</t>
    <phoneticPr fontId="8" type="noConversion"/>
  </si>
  <si>
    <t>详细规格</t>
    <phoneticPr fontId="8" type="noConversion"/>
  </si>
  <si>
    <t>单位用量</t>
    <phoneticPr fontId="8" type="noConversion"/>
  </si>
  <si>
    <t>单价</t>
    <phoneticPr fontId="8" type="noConversion"/>
  </si>
  <si>
    <t>材料金额</t>
    <phoneticPr fontId="8" type="noConversion"/>
  </si>
  <si>
    <t>KG/100M</t>
    <phoneticPr fontId="8" type="noConversion"/>
  </si>
  <si>
    <t>RMB/KG</t>
    <phoneticPr fontId="8" type="noConversion"/>
  </si>
  <si>
    <t>RMB/100M</t>
    <phoneticPr fontId="8" type="noConversion"/>
  </si>
  <si>
    <t>1</t>
    <phoneticPr fontId="8" type="noConversion"/>
  </si>
  <si>
    <t>铜绞</t>
    <phoneticPr fontId="8" type="noConversion"/>
  </si>
  <si>
    <t>2</t>
  </si>
  <si>
    <t>芯押</t>
    <phoneticPr fontId="8" type="noConversion"/>
  </si>
  <si>
    <t>CG50*0101 ID:2.1mm*3C</t>
    <phoneticPr fontId="4" type="noConversion"/>
  </si>
  <si>
    <t>外被</t>
    <phoneticPr fontId="8" type="noConversion"/>
  </si>
  <si>
    <t xml:space="preserve">C87010104 OD:5.80mm  </t>
    <phoneticPr fontId="4" type="noConversion"/>
  </si>
  <si>
    <t>材料成本</t>
    <phoneticPr fontId="8" type="noConversion"/>
  </si>
  <si>
    <t>RMB/M</t>
    <phoneticPr fontId="8" type="noConversion"/>
  </si>
  <si>
    <t>Kg</t>
    <phoneticPr fontId="4" type="noConversion"/>
  </si>
  <si>
    <t>標准工時(一台机1KM开机时间)</t>
    <phoneticPr fontId="8" type="noConversion"/>
  </si>
  <si>
    <r>
      <t>损耗时间</t>
    </r>
    <r>
      <rPr>
        <sz val="10"/>
        <rFont val="Times New Roman"/>
        <family val="1"/>
      </rPr>
      <t>(1km)</t>
    </r>
    <phoneticPr fontId="4" type="noConversion"/>
  </si>
  <si>
    <t>固定费用率</t>
    <phoneticPr fontId="8" type="noConversion"/>
  </si>
  <si>
    <t>固定費用</t>
    <phoneticPr fontId="8" type="noConversion"/>
  </si>
  <si>
    <t>开机损耗废线（100M/每根芯线）</t>
    <phoneticPr fontId="4" type="noConversion"/>
  </si>
  <si>
    <t>每个制程总废胶(KG)</t>
    <phoneticPr fontId="4" type="noConversion"/>
  </si>
  <si>
    <t>金额</t>
    <phoneticPr fontId="4" type="noConversion"/>
  </si>
  <si>
    <t>費用成本小計</t>
    <phoneticPr fontId="8" type="noConversion"/>
  </si>
  <si>
    <t>集合</t>
    <phoneticPr fontId="8" type="noConversion"/>
  </si>
  <si>
    <t>其他费用</t>
    <phoneticPr fontId="4" type="noConversion"/>
  </si>
  <si>
    <t>UL标签费(RMB/M)</t>
    <phoneticPr fontId="4" type="noConversion"/>
  </si>
  <si>
    <t>运输费(RMB/KG)</t>
    <phoneticPr fontId="4" type="noConversion"/>
  </si>
  <si>
    <t>包装费(RMB/M)</t>
    <phoneticPr fontId="4" type="noConversion"/>
  </si>
  <si>
    <r>
      <t>废品损耗</t>
    </r>
    <r>
      <rPr>
        <sz val="10"/>
        <color indexed="10"/>
        <rFont val="新細明體"/>
        <family val="1"/>
        <charset val="255"/>
      </rPr>
      <t>(%)</t>
    </r>
    <phoneticPr fontId="4" type="noConversion"/>
  </si>
  <si>
    <t>订单开机次数</t>
    <phoneticPr fontId="4" type="noConversion"/>
  </si>
  <si>
    <t>费用总计</t>
    <phoneticPr fontId="4" type="noConversion"/>
  </si>
  <si>
    <t>成本(RMB/M)</t>
    <phoneticPr fontId="4" type="noConversion"/>
  </si>
  <si>
    <r>
      <t>取利售价（</t>
    </r>
    <r>
      <rPr>
        <sz val="10"/>
        <rFont val="Times New Roman"/>
        <family val="1"/>
      </rPr>
      <t>RMB/M</t>
    </r>
    <r>
      <rPr>
        <sz val="10"/>
        <rFont val="宋体"/>
        <family val="3"/>
        <charset val="134"/>
      </rPr>
      <t>）</t>
    </r>
    <phoneticPr fontId="4" type="noConversion"/>
  </si>
  <si>
    <t>净利率</t>
    <phoneticPr fontId="4" type="noConversion"/>
  </si>
  <si>
    <t>报关费(RMB/次)</t>
    <phoneticPr fontId="4" type="noConversion"/>
  </si>
  <si>
    <t>增值税率</t>
    <phoneticPr fontId="4" type="noConversion"/>
  </si>
  <si>
    <t>订单米数</t>
    <phoneticPr fontId="4" type="noConversion"/>
  </si>
  <si>
    <t>照射芯数</t>
    <phoneticPr fontId="4" type="noConversion"/>
  </si>
  <si>
    <t>照射费用(RMB/M)</t>
    <phoneticPr fontId="4" type="noConversion"/>
  </si>
  <si>
    <t>营业费用率</t>
    <phoneticPr fontId="4" type="noConversion"/>
  </si>
  <si>
    <t>月结利息</t>
    <phoneticPr fontId="4" type="noConversion"/>
  </si>
  <si>
    <t>企税税率</t>
    <phoneticPr fontId="4" type="noConversion"/>
  </si>
  <si>
    <t>不取利售价（RMB/M）</t>
    <phoneticPr fontId="4" type="noConversion"/>
  </si>
  <si>
    <t>最终售价（RMB/M）</t>
    <phoneticPr fontId="4" type="noConversion"/>
  </si>
  <si>
    <r>
      <t>52RVV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H03VV-F 2x0.5mm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</t>
    </r>
    <phoneticPr fontId="4" type="noConversion"/>
  </si>
  <si>
    <t>W246420002-2</t>
    <phoneticPr fontId="8" type="noConversion"/>
  </si>
  <si>
    <t>26/0.16TC*2C</t>
    <phoneticPr fontId="4" type="noConversion"/>
  </si>
  <si>
    <t>UL2464 20AWG*2C</t>
    <phoneticPr fontId="4" type="noConversion"/>
  </si>
  <si>
    <t>26/0.16TC*2C</t>
    <phoneticPr fontId="8" type="noConversion"/>
  </si>
  <si>
    <t>C238*L101 ID:2.0*2C</t>
    <phoneticPr fontId="8" type="noConversion"/>
  </si>
  <si>
    <r>
      <t>C87010104</t>
    </r>
    <r>
      <rPr>
        <sz val="12"/>
        <rFont val="宋体"/>
        <family val="3"/>
        <charset val="134"/>
      </rPr>
      <t>外被</t>
    </r>
    <r>
      <rPr>
        <sz val="12"/>
        <rFont val="Times New Roman"/>
        <family val="1"/>
      </rPr>
      <t xml:space="preserve"> OD:5.6mm                                                   </t>
    </r>
    <phoneticPr fontId="8" type="noConversion"/>
  </si>
  <si>
    <t>现金，含税人民币</t>
    <phoneticPr fontId="3" type="noConversion"/>
  </si>
  <si>
    <t>送货到东莞：850元/吨+200/趟送货费</t>
    <phoneticPr fontId="3" type="noConversion"/>
  </si>
  <si>
    <t>W246418005</t>
    <phoneticPr fontId="8" type="noConversion"/>
  </si>
  <si>
    <t>41/0.16TC*3C</t>
    <phoneticPr fontId="4" type="noConversion"/>
  </si>
  <si>
    <t>UL2464  18AWG*3C</t>
    <phoneticPr fontId="4" type="noConversion"/>
  </si>
  <si>
    <t>41/0.16TC*3C</t>
    <phoneticPr fontId="8" type="noConversion"/>
  </si>
  <si>
    <t>C238  ID:2.2*3C</t>
    <phoneticPr fontId="8" type="noConversion"/>
  </si>
  <si>
    <t xml:space="preserve">C87010104  OD:6.5mm                                                   </t>
    <phoneticPr fontId="8" type="noConversion"/>
  </si>
  <si>
    <t>配合小米的企业，新开发项目，用量待定，与东莞弘皓电子/东莞皓宇电子 产品类似</t>
    <phoneticPr fontId="3" type="noConversion"/>
  </si>
  <si>
    <t>W246418006</t>
    <phoneticPr fontId="8" type="noConversion"/>
  </si>
  <si>
    <t>C238  ID:1.8*3C</t>
    <phoneticPr fontId="8" type="noConversion"/>
  </si>
  <si>
    <t xml:space="preserve">C86010108  OD:5.5mm                                                   </t>
    <phoneticPr fontId="8" type="noConversion"/>
  </si>
  <si>
    <t>W246416001</t>
    <phoneticPr fontId="8" type="noConversion"/>
  </si>
  <si>
    <t>26/0.254TC*2C+7/0.16TC*1C</t>
    <phoneticPr fontId="4" type="noConversion"/>
  </si>
  <si>
    <t>UL2464  16AWG*2C+26AWG*1C</t>
    <phoneticPr fontId="4" type="noConversion"/>
  </si>
  <si>
    <t>26/0.254TC*2C</t>
    <phoneticPr fontId="3" type="noConversion"/>
  </si>
  <si>
    <t>7/0.16TC*1C</t>
    <phoneticPr fontId="8" type="noConversion"/>
  </si>
  <si>
    <t>C238*L101  ID:2.1*2C</t>
    <phoneticPr fontId="8" type="noConversion"/>
  </si>
  <si>
    <t>C238*L101  ID:1.0*1C</t>
    <phoneticPr fontId="8" type="noConversion"/>
  </si>
  <si>
    <t xml:space="preserve">C86010108 OD:6.0mm                                                   </t>
    <phoneticPr fontId="8" type="noConversion"/>
  </si>
  <si>
    <t>月需求量5万米</t>
    <phoneticPr fontId="3" type="noConversion"/>
  </si>
  <si>
    <t>PVC价格均为8月单价+0.3</t>
    <phoneticPr fontId="3" type="noConversion"/>
  </si>
  <si>
    <t>W246416002</t>
    <phoneticPr fontId="8" type="noConversion"/>
  </si>
  <si>
    <t>26/0.254BC*2C+7/0.16BC*1C</t>
    <phoneticPr fontId="4" type="noConversion"/>
  </si>
  <si>
    <t>26/0.254BC*2C</t>
    <phoneticPr fontId="3" type="noConversion"/>
  </si>
  <si>
    <t>7/0.16BC*1C</t>
    <phoneticPr fontId="8" type="noConversion"/>
  </si>
  <si>
    <t>镀锡铜单价</t>
    <phoneticPr fontId="3" type="noConversion"/>
  </si>
  <si>
    <t>H05VV-F-001</t>
    <phoneticPr fontId="8" type="noConversion"/>
  </si>
  <si>
    <t>24/0.190BC*5C</t>
    <phoneticPr fontId="4" type="noConversion"/>
  </si>
  <si>
    <r>
      <t>53RVV</t>
    </r>
    <r>
      <rPr>
        <sz val="10"/>
        <rFont val="宋体"/>
        <family val="3"/>
        <charset val="134"/>
      </rPr>
      <t>、</t>
    </r>
    <r>
      <rPr>
        <sz val="10"/>
        <rFont val="Times New Roman"/>
        <family val="1"/>
      </rPr>
      <t>H05VV-F 5x0.75mm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</t>
    </r>
    <phoneticPr fontId="4" type="noConversion"/>
  </si>
  <si>
    <t>CG50*0101 ID:2.10mm*5C</t>
    <phoneticPr fontId="4" type="noConversion"/>
  </si>
  <si>
    <r>
      <rPr>
        <sz val="12"/>
        <rFont val="宋体"/>
        <family val="3"/>
        <charset val="134"/>
      </rPr>
      <t>棉线</t>
    </r>
    <r>
      <rPr>
        <sz val="12"/>
        <rFont val="Times New Roman"/>
        <family val="1"/>
      </rPr>
      <t>10S/22</t>
    </r>
    <phoneticPr fontId="3" type="noConversion"/>
  </si>
  <si>
    <t xml:space="preserve">C86010113 OD:7.8mm  </t>
    <phoneticPr fontId="4" type="noConversion"/>
  </si>
  <si>
    <t>NONUL001</t>
    <phoneticPr fontId="8" type="noConversion"/>
  </si>
  <si>
    <t>24/0.190BC*2C+11/0.16BC*3C</t>
    <phoneticPr fontId="4" type="noConversion"/>
  </si>
  <si>
    <r>
      <t>NONUL0.75mm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*2C+24AWG*3C</t>
    </r>
    <phoneticPr fontId="4" type="noConversion"/>
  </si>
  <si>
    <t>24/0.190BC*2C</t>
    <phoneticPr fontId="4" type="noConversion"/>
  </si>
  <si>
    <t>11/0.16BC*3C</t>
    <phoneticPr fontId="4" type="noConversion"/>
  </si>
  <si>
    <t>CG50*0101 ID:2.10mm*2C</t>
    <phoneticPr fontId="4" type="noConversion"/>
  </si>
  <si>
    <t>C238*L101 ID:1.4mm*3C</t>
    <phoneticPr fontId="4" type="noConversion"/>
  </si>
  <si>
    <t>中被</t>
    <phoneticPr fontId="8" type="noConversion"/>
  </si>
  <si>
    <t xml:space="preserve">C86010113  OD:6.2mm  </t>
    <phoneticPr fontId="4" type="noConversion"/>
  </si>
  <si>
    <t xml:space="preserve">C86010113 OD:9.8mm  </t>
    <phoneticPr fontId="4" type="noConversion"/>
  </si>
  <si>
    <t>月需求量1万米</t>
    <phoneticPr fontId="3" type="noConversion"/>
  </si>
  <si>
    <t>PVC价格均为8月单价+0.5</t>
    <phoneticPr fontId="3" type="noConversion"/>
  </si>
  <si>
    <t>H03VV-F050-001</t>
    <phoneticPr fontId="8" type="noConversion"/>
  </si>
  <si>
    <t>28/0.145BC*2C</t>
    <phoneticPr fontId="4" type="noConversion"/>
  </si>
  <si>
    <t>CG50*0101 ID:1.90mm*2C</t>
    <phoneticPr fontId="4" type="noConversion"/>
  </si>
  <si>
    <t xml:space="preserve">C86010113 OD:5.0mm  </t>
    <phoneticPr fontId="4" type="noConversion"/>
  </si>
  <si>
    <t>按9月报价</t>
    <phoneticPr fontId="3" type="noConversion"/>
  </si>
  <si>
    <t>原成本分析号W005003铜绞规格错误，23.11.06更正</t>
    <phoneticPr fontId="3" type="noConversion"/>
  </si>
  <si>
    <t>W075001</t>
    <phoneticPr fontId="3" type="noConversion"/>
  </si>
  <si>
    <t>弘皓</t>
    <phoneticPr fontId="3" type="noConversion"/>
  </si>
  <si>
    <t>24/0.193BC*5C+FILLER</t>
    <phoneticPr fontId="4" type="noConversion"/>
  </si>
  <si>
    <t>H05VV-F 0.75mm2 *5C+F</t>
    <phoneticPr fontId="4" type="noConversion"/>
  </si>
  <si>
    <t>24/0.193BC*5C</t>
    <phoneticPr fontId="3" type="noConversion"/>
  </si>
  <si>
    <t>CG50*0101  ID:2.3*5C</t>
    <phoneticPr fontId="8" type="noConversion"/>
  </si>
  <si>
    <t>填充</t>
    <phoneticPr fontId="8" type="noConversion"/>
  </si>
  <si>
    <r>
      <t xml:space="preserve">10S*18*1PCS </t>
    </r>
    <r>
      <rPr>
        <sz val="12"/>
        <rFont val="宋体"/>
        <family val="1"/>
        <charset val="134"/>
      </rPr>
      <t>棉线</t>
    </r>
    <phoneticPr fontId="8" type="noConversion"/>
  </si>
  <si>
    <t xml:space="preserve">CT6010100 OD:8.0mm                                                   </t>
    <phoneticPr fontId="8" type="noConversion"/>
  </si>
  <si>
    <t>C87010117</t>
    <phoneticPr fontId="3" type="noConversion"/>
  </si>
  <si>
    <t>原东莞讯联现金交易铜76000未税单价</t>
    <phoneticPr fontId="3" type="noConversion"/>
  </si>
  <si>
    <t>原东莞讯联：现金</t>
    <phoneticPr fontId="3" type="noConversion"/>
  </si>
  <si>
    <t>改为：东莞弘皓电子月结30天电汇</t>
    <phoneticPr fontId="3" type="noConversion"/>
  </si>
  <si>
    <t>改月结方式后单价涨0.8%</t>
    <phoneticPr fontId="3" type="noConversion"/>
  </si>
  <si>
    <t>成 本 分 析 表</t>
    <phoneticPr fontId="8" type="noConversion"/>
  </si>
  <si>
    <t>FLRYY-100-001</t>
    <phoneticPr fontId="8" type="noConversion"/>
  </si>
  <si>
    <t>32/0.194BC*2C+12/0.194BC</t>
    <phoneticPr fontId="8" type="noConversion"/>
  </si>
  <si>
    <r>
      <t>FLRYY 1.0mm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*2C+0.35mm²*1C</t>
    </r>
    <phoneticPr fontId="8" type="noConversion"/>
  </si>
  <si>
    <t>规格</t>
    <phoneticPr fontId="8" type="noConversion"/>
  </si>
  <si>
    <t>32/0.194BC*2C</t>
    <phoneticPr fontId="8" type="noConversion"/>
  </si>
  <si>
    <t>12/0.194BC*1C</t>
    <phoneticPr fontId="3" type="noConversion"/>
  </si>
  <si>
    <r>
      <t>105</t>
    </r>
    <r>
      <rPr>
        <sz val="12"/>
        <rFont val="Segoe UI Symbol"/>
        <family val="1"/>
      </rPr>
      <t>℃</t>
    </r>
    <r>
      <rPr>
        <sz val="12"/>
        <rFont val="Times New Roman"/>
        <family val="1"/>
      </rPr>
      <t xml:space="preserve"> PVC CV50***   ID:2.0mm *2C</t>
    </r>
    <phoneticPr fontId="8" type="noConversion"/>
  </si>
  <si>
    <r>
      <t>105</t>
    </r>
    <r>
      <rPr>
        <sz val="12"/>
        <rFont val="Segoe UI Symbol"/>
        <family val="1"/>
      </rPr>
      <t>℃</t>
    </r>
    <r>
      <rPr>
        <sz val="12"/>
        <rFont val="Times New Roman"/>
        <family val="1"/>
      </rPr>
      <t xml:space="preserve"> PVC CV50***   ID:1.30mm *1C</t>
    </r>
    <phoneticPr fontId="8" type="noConversion"/>
  </si>
  <si>
    <t>CV60***  OD:5.5mm</t>
    <phoneticPr fontId="8" type="noConversion"/>
  </si>
  <si>
    <t>月结30天电汇，
含税人民币</t>
    <phoneticPr fontId="3" type="noConversion"/>
  </si>
  <si>
    <t>原东莞讯联：现金，改为：东莞弘皓电子月结30天电汇</t>
    <phoneticPr fontId="3" type="noConversion"/>
  </si>
  <si>
    <t>月需求量2万米</t>
    <phoneticPr fontId="3" type="noConversion"/>
  </si>
  <si>
    <t>FLR1.0*2C+0.35*1C</t>
    <phoneticPr fontId="3" type="noConversion"/>
  </si>
  <si>
    <t>W246420001</t>
    <phoneticPr fontId="8" type="noConversion"/>
  </si>
  <si>
    <t>26/0.16TC*3C</t>
    <phoneticPr fontId="4" type="noConversion"/>
  </si>
  <si>
    <t>UL2464  VDE  20AWG*3C</t>
    <phoneticPr fontId="4" type="noConversion"/>
  </si>
  <si>
    <t>26/0.158TC*3C</t>
    <phoneticPr fontId="3" type="noConversion"/>
  </si>
  <si>
    <t>C238***01  ID:2.0*3C</t>
    <phoneticPr fontId="8" type="noConversion"/>
  </si>
  <si>
    <t xml:space="preserve">C86010108 OD:5.90mm                                                   </t>
    <phoneticPr fontId="8" type="noConversion"/>
  </si>
  <si>
    <t>W246418001</t>
    <phoneticPr fontId="8" type="noConversion"/>
  </si>
  <si>
    <t>41/0.16TC*5C+FILLER</t>
    <phoneticPr fontId="4" type="noConversion"/>
  </si>
  <si>
    <t>UL2464  VDE  18AWG*5C+F</t>
    <phoneticPr fontId="4" type="noConversion"/>
  </si>
  <si>
    <t>41/0.16TC*5C</t>
    <phoneticPr fontId="3" type="noConversion"/>
  </si>
  <si>
    <t>C245*X101  ID:2.35*5C</t>
    <phoneticPr fontId="8" type="noConversion"/>
  </si>
  <si>
    <r>
      <rPr>
        <sz val="12"/>
        <rFont val="Calibri"/>
        <family val="1"/>
        <charset val="161"/>
      </rPr>
      <t>φ</t>
    </r>
    <r>
      <rPr>
        <sz val="12"/>
        <rFont val="Times New Roman"/>
        <family val="1"/>
      </rPr>
      <t xml:space="preserve"> 3*1PCS</t>
    </r>
    <r>
      <rPr>
        <sz val="12"/>
        <rFont val="宋体"/>
        <family val="1"/>
        <charset val="134"/>
      </rPr>
      <t>，</t>
    </r>
    <r>
      <rPr>
        <sz val="12"/>
        <rFont val="Times New Roman"/>
        <family val="1"/>
      </rPr>
      <t>PP</t>
    </r>
    <r>
      <rPr>
        <sz val="12"/>
        <rFont val="宋体"/>
        <family val="1"/>
        <charset val="134"/>
      </rPr>
      <t>绳充麻填充</t>
    </r>
    <phoneticPr fontId="8" type="noConversion"/>
  </si>
  <si>
    <t xml:space="preserve">C87010104 OD:8.3mm                                                   </t>
    <phoneticPr fontId="8" type="noConversion"/>
  </si>
  <si>
    <t>UL2464 18AWG*2C &amp;H03VV-F 2*0,75mm，全球规认证</t>
    <phoneticPr fontId="3" type="noConversion"/>
  </si>
  <si>
    <t>W246418002</t>
    <phoneticPr fontId="8" type="noConversion"/>
  </si>
  <si>
    <t>41/0.16TC*2C</t>
    <phoneticPr fontId="4" type="noConversion"/>
  </si>
  <si>
    <t>UL2464  VDE  18AWG*2C</t>
    <phoneticPr fontId="4" type="noConversion"/>
  </si>
  <si>
    <t>C245*X101  ID:2.20*2C</t>
    <phoneticPr fontId="8" type="noConversion"/>
  </si>
  <si>
    <t>25.7.8电线成本分析表</t>
    <phoneticPr fontId="4" type="noConversion"/>
  </si>
  <si>
    <t>25.7.7电线成本分析表</t>
    <phoneticPr fontId="4" type="noConversion"/>
  </si>
  <si>
    <t>UL2464 18AWG*2C &amp;H03VV-F 2*0,75mm</t>
    <phoneticPr fontId="3" type="noConversion"/>
  </si>
  <si>
    <t>41/0.158TC*2C</t>
    <phoneticPr fontId="3" type="noConversion"/>
  </si>
  <si>
    <t>曹守洋成本分析做错，7.9更新报价重新提供客户，此份作废</t>
    <phoneticPr fontId="8" type="noConversion"/>
  </si>
  <si>
    <t>曹守洋7.7成本分析做错，7.9重做成本提供客户，以此份为准</t>
    <phoneticPr fontId="8" type="noConversion"/>
  </si>
  <si>
    <t>H03VV-F 0.5*2C</t>
    <phoneticPr fontId="3" type="noConversion"/>
  </si>
  <si>
    <t>月需求量3万米</t>
    <phoneticPr fontId="3" type="noConversion"/>
  </si>
  <si>
    <t>23.7.26原东莞讯联铜8万旧含税单价</t>
    <phoneticPr fontId="3" type="noConversion"/>
  </si>
  <si>
    <t>宋哥：无需参考之前讯联报价，重新取利8%</t>
    <phoneticPr fontId="3" type="noConversion"/>
  </si>
  <si>
    <t>东莞讯联原现金客户，24.12.20改为30天电汇,下单公司名为东莞弘皓电子有限公司</t>
    <phoneticPr fontId="3" type="noConversion"/>
  </si>
  <si>
    <t>23.7.26--讯联电线成本分析表</t>
    <phoneticPr fontId="4" type="noConversion"/>
  </si>
  <si>
    <t>φ 3*1PCS，PP绳充麻填充</t>
    <phoneticPr fontId="8" type="noConversion"/>
  </si>
  <si>
    <t>损耗时间(1km)</t>
    <phoneticPr fontId="4" type="noConversion"/>
  </si>
  <si>
    <t>废品损耗(%)</t>
    <phoneticPr fontId="4" type="noConversion"/>
  </si>
  <si>
    <t>取利售价（RMB/M）</t>
    <phoneticPr fontId="4" type="noConversion"/>
  </si>
  <si>
    <t>东莞弘皓电子月结30天电汇</t>
    <phoneticPr fontId="3" type="noConversion"/>
  </si>
  <si>
    <t>UL2464 18*5C &amp; H05VV-F 5*0.75mm²，全球规</t>
    <phoneticPr fontId="3" type="noConversion"/>
  </si>
  <si>
    <t>宋哥：起订量按照5000米，利润12%。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</si>
</sst>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00"/>
    <numFmt numFmtId="177" formatCode="0.0000"/>
    <numFmt numFmtId="178" formatCode="#,##0_ "/>
    <numFmt numFmtId="179" formatCode="#,##0.0000_ "/>
    <numFmt numFmtId="180" formatCode="0.0000_ "/>
    <numFmt numFmtId="181" formatCode="0.0%"/>
    <numFmt numFmtId="182" formatCode="#,##0.00_ "/>
    <numFmt numFmtId="183" formatCode="0.000_ "/>
    <numFmt numFmtId="184" formatCode="0.0"/>
    <numFmt numFmtId="185" formatCode="#,##0.000_ "/>
    <numFmt numFmtId="186" formatCode="#,##0.0_ "/>
  </numFmts>
  <fonts count="3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2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新細明體"/>
      <family val="1"/>
    </font>
    <font>
      <b/>
      <sz val="20"/>
      <name val="宋体"/>
      <family val="3"/>
      <charset val="134"/>
    </font>
    <font>
      <sz val="12"/>
      <name val="宋体"/>
      <family val="3"/>
      <charset val="134"/>
    </font>
    <font>
      <b/>
      <sz val="12"/>
      <color indexed="10"/>
      <name val="Times New Roman"/>
      <family val="1"/>
    </font>
    <font>
      <sz val="9"/>
      <name val="宋体"/>
      <family val="3"/>
      <charset val="134"/>
    </font>
    <font>
      <sz val="10"/>
      <name val="Times New Roman"/>
      <family val="1"/>
    </font>
    <font>
      <sz val="10"/>
      <name val="宋体"/>
      <family val="3"/>
      <charset val="134"/>
    </font>
    <font>
      <vertAlign val="superscript"/>
      <sz val="10"/>
      <name val="Times New Roman"/>
      <family val="1"/>
    </font>
    <font>
      <sz val="12"/>
      <name val="Times New Roman"/>
      <family val="1"/>
    </font>
    <font>
      <b/>
      <sz val="1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color indexed="10"/>
      <name val="新細明體"/>
      <family val="1"/>
      <charset val="255"/>
    </font>
    <font>
      <sz val="10"/>
      <name val="新細明體"/>
      <family val="1"/>
    </font>
    <font>
      <sz val="12"/>
      <color indexed="8"/>
      <name val="新細明體"/>
      <family val="1"/>
    </font>
    <font>
      <sz val="12"/>
      <color indexed="12"/>
      <name val="宋体"/>
      <family val="3"/>
      <charset val="134"/>
    </font>
    <font>
      <b/>
      <sz val="14"/>
      <color indexed="12"/>
      <name val="宋体"/>
      <family val="3"/>
      <charset val="134"/>
    </font>
    <font>
      <sz val="10"/>
      <name val="Helv"/>
      <family val="2"/>
    </font>
    <font>
      <sz val="12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name val="Helv"/>
      <family val="2"/>
    </font>
    <font>
      <b/>
      <sz val="12"/>
      <color indexed="10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name val="Calibri"/>
      <family val="1"/>
      <charset val="161"/>
    </font>
    <font>
      <sz val="12"/>
      <name val="宋体"/>
      <family val="1"/>
      <charset val="134"/>
    </font>
    <font>
      <sz val="10"/>
      <name val="Arial"/>
      <family val="2"/>
    </font>
    <font>
      <sz val="12"/>
      <name val="Segoe UI Symbol"/>
      <family val="1"/>
    </font>
    <font>
      <sz val="12"/>
      <name val="Times New Roman"/>
      <family val="1"/>
      <charset val="161"/>
    </font>
    <font>
      <b/>
      <sz val="12"/>
      <color rgb="FFFF0000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color indexed="8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6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</cellStyleXfs>
  <cellXfs count="248">
    <xf numFmtId="0" fontId="0" fillId="0" borderId="0" xfId="0"/>
    <xf numFmtId="0" fontId="0" fillId="0" borderId="0" xfId="0" applyAlignment="1">
      <alignment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0" fontId="6" fillId="3" borderId="2" xfId="2" quotePrefix="1" applyFill="1" applyBorder="1" applyAlignment="1" applyProtection="1">
      <alignment horizontal="center" vertical="center"/>
      <protection locked="0"/>
    </xf>
    <xf numFmtId="0" fontId="6" fillId="3" borderId="2" xfId="2" applyFill="1" applyBorder="1" applyAlignment="1" applyProtection="1">
      <alignment horizontal="center" vertical="center"/>
      <protection locked="0"/>
    </xf>
    <xf numFmtId="176" fontId="6" fillId="3" borderId="2" xfId="2" applyNumberFormat="1" applyFill="1" applyBorder="1" applyAlignment="1" applyProtection="1">
      <alignment horizontal="center" vertical="center"/>
      <protection locked="0"/>
    </xf>
    <xf numFmtId="2" fontId="6" fillId="3" borderId="2" xfId="0" applyNumberFormat="1" applyFont="1" applyFill="1" applyBorder="1" applyAlignment="1" applyProtection="1">
      <alignment horizontal="right" vertical="center"/>
      <protection locked="0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177" fontId="14" fillId="3" borderId="2" xfId="0" applyNumberFormat="1" applyFont="1" applyFill="1" applyBorder="1" applyAlignment="1">
      <alignment horizontal="center" vertical="center"/>
    </xf>
    <xf numFmtId="176" fontId="14" fillId="3" borderId="2" xfId="0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/>
    </xf>
    <xf numFmtId="2" fontId="14" fillId="3" borderId="2" xfId="0" applyNumberFormat="1" applyFont="1" applyFill="1" applyBorder="1" applyAlignment="1">
      <alignment horizontal="center" vertical="center"/>
    </xf>
    <xf numFmtId="0" fontId="10" fillId="6" borderId="2" xfId="2" applyFont="1" applyFill="1" applyBorder="1" applyAlignment="1" applyProtection="1">
      <alignment horizontal="center" vertical="center"/>
      <protection locked="0"/>
    </xf>
    <xf numFmtId="0" fontId="10" fillId="6" borderId="2" xfId="2" applyFont="1" applyFill="1" applyBorder="1" applyAlignment="1" applyProtection="1">
      <alignment horizontal="center" vertical="center" wrapText="1"/>
      <protection locked="0"/>
    </xf>
    <xf numFmtId="0" fontId="10" fillId="6" borderId="2" xfId="2" applyFont="1" applyFill="1" applyBorder="1" applyAlignment="1">
      <alignment horizontal="center" vertical="center" wrapText="1"/>
    </xf>
    <xf numFmtId="0" fontId="6" fillId="5" borderId="2" xfId="2" applyFill="1" applyBorder="1" applyAlignment="1">
      <alignment horizontal="center" vertical="center"/>
    </xf>
    <xf numFmtId="178" fontId="6" fillId="3" borderId="2" xfId="2" applyNumberFormat="1" applyFill="1" applyBorder="1" applyAlignment="1" applyProtection="1">
      <alignment horizontal="center" vertical="center"/>
      <protection locked="0"/>
    </xf>
    <xf numFmtId="179" fontId="6" fillId="5" borderId="2" xfId="2" applyNumberFormat="1" applyFill="1" applyBorder="1" applyAlignment="1" applyProtection="1">
      <alignment vertical="center"/>
      <protection locked="0"/>
    </xf>
    <xf numFmtId="180" fontId="0" fillId="5" borderId="2" xfId="0" applyNumberFormat="1" applyFill="1" applyBorder="1" applyAlignment="1">
      <alignment vertical="center"/>
    </xf>
    <xf numFmtId="179" fontId="12" fillId="3" borderId="2" xfId="2" applyNumberFormat="1" applyFont="1" applyFill="1" applyBorder="1" applyAlignment="1" applyProtection="1">
      <alignment vertical="center"/>
      <protection locked="0"/>
    </xf>
    <xf numFmtId="179" fontId="6" fillId="3" borderId="2" xfId="2" applyNumberFormat="1" applyFill="1" applyBorder="1" applyAlignment="1" applyProtection="1">
      <alignment vertical="center"/>
      <protection locked="0"/>
    </xf>
    <xf numFmtId="176" fontId="6" fillId="5" borderId="2" xfId="2" applyNumberFormat="1" applyFill="1" applyBorder="1" applyAlignment="1">
      <alignment horizontal="center" vertical="center"/>
    </xf>
    <xf numFmtId="179" fontId="12" fillId="5" borderId="2" xfId="2" applyNumberFormat="1" applyFont="1" applyFill="1" applyBorder="1" applyAlignment="1" applyProtection="1">
      <alignment vertical="center"/>
      <protection locked="0"/>
    </xf>
    <xf numFmtId="179" fontId="10" fillId="7" borderId="2" xfId="2" applyNumberFormat="1" applyFont="1" applyFill="1" applyBorder="1" applyAlignment="1" applyProtection="1">
      <alignment horizontal="center" vertical="center" wrapText="1"/>
      <protection locked="0"/>
    </xf>
    <xf numFmtId="0" fontId="16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179" fontId="10" fillId="7" borderId="2" xfId="2" applyNumberFormat="1" applyFont="1" applyFill="1" applyBorder="1" applyAlignment="1" applyProtection="1">
      <alignment horizontal="center" vertical="center"/>
      <protection locked="0"/>
    </xf>
    <xf numFmtId="179" fontId="14" fillId="7" borderId="2" xfId="2" applyNumberFormat="1" applyFont="1" applyFill="1" applyBorder="1" applyAlignment="1" applyProtection="1">
      <alignment horizontal="center" vertical="center"/>
      <protection locked="0"/>
    </xf>
    <xf numFmtId="179" fontId="6" fillId="5" borderId="2" xfId="2" applyNumberFormat="1" applyFill="1" applyBorder="1" applyAlignment="1" applyProtection="1">
      <alignment horizontal="center" vertical="center"/>
      <protection locked="0"/>
    </xf>
    <xf numFmtId="181" fontId="18" fillId="5" borderId="2" xfId="1" applyNumberFormat="1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182" fontId="10" fillId="7" borderId="2" xfId="2" applyNumberFormat="1" applyFont="1" applyFill="1" applyBorder="1" applyAlignment="1">
      <alignment horizontal="center" vertical="center"/>
    </xf>
    <xf numFmtId="179" fontId="10" fillId="7" borderId="3" xfId="2" applyNumberFormat="1" applyFont="1" applyFill="1" applyBorder="1" applyAlignment="1" applyProtection="1">
      <alignment horizontal="center" vertical="center"/>
      <protection locked="0"/>
    </xf>
    <xf numFmtId="178" fontId="6" fillId="5" borderId="2" xfId="2" applyNumberFormat="1" applyFill="1" applyBorder="1" applyAlignment="1" applyProtection="1">
      <alignment horizontal="center" vertical="center"/>
      <protection locked="0"/>
    </xf>
    <xf numFmtId="179" fontId="14" fillId="8" borderId="2" xfId="2" applyNumberFormat="1" applyFont="1" applyFill="1" applyBorder="1" applyAlignment="1" applyProtection="1">
      <alignment horizontal="center" vertical="center"/>
      <protection locked="0"/>
    </xf>
    <xf numFmtId="0" fontId="10" fillId="8" borderId="2" xfId="0" applyFont="1" applyFill="1" applyBorder="1" applyAlignment="1">
      <alignment horizontal="center" vertical="center"/>
    </xf>
    <xf numFmtId="1" fontId="18" fillId="5" borderId="2" xfId="0" applyNumberFormat="1" applyFont="1" applyFill="1" applyBorder="1" applyAlignment="1">
      <alignment horizontal="center" vertical="center"/>
    </xf>
    <xf numFmtId="0" fontId="10" fillId="5" borderId="2" xfId="1" applyNumberFormat="1" applyFont="1" applyFill="1" applyBorder="1" applyAlignment="1">
      <alignment horizontal="center" vertical="center"/>
    </xf>
    <xf numFmtId="0" fontId="22" fillId="0" borderId="0" xfId="0" applyFont="1"/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2" xfId="2" applyBorder="1" applyAlignment="1" applyProtection="1">
      <alignment horizontal="center" vertical="center"/>
      <protection locked="0"/>
    </xf>
    <xf numFmtId="176" fontId="6" fillId="0" borderId="2" xfId="0" applyNumberFormat="1" applyFont="1" applyBorder="1" applyAlignment="1" applyProtection="1">
      <alignment horizontal="center" vertical="center"/>
      <protection locked="0"/>
    </xf>
    <xf numFmtId="0" fontId="6" fillId="0" borderId="0" xfId="0" applyFont="1"/>
    <xf numFmtId="2" fontId="6" fillId="0" borderId="2" xfId="0" applyNumberFormat="1" applyFont="1" applyBorder="1" applyAlignment="1" applyProtection="1">
      <alignment horizontal="right" vertical="center"/>
      <protection locked="0"/>
    </xf>
    <xf numFmtId="179" fontId="12" fillId="5" borderId="2" xfId="2" applyNumberFormat="1" applyFont="1" applyFill="1" applyBorder="1" applyAlignment="1" applyProtection="1">
      <alignment horizontal="center" vertical="center"/>
      <protection locked="0"/>
    </xf>
    <xf numFmtId="183" fontId="6" fillId="5" borderId="2" xfId="2" applyNumberFormat="1" applyFill="1" applyBorder="1" applyAlignment="1">
      <alignment horizontal="center" vertical="center"/>
    </xf>
    <xf numFmtId="0" fontId="6" fillId="0" borderId="0" xfId="3"/>
    <xf numFmtId="0" fontId="6" fillId="0" borderId="0" xfId="4"/>
    <xf numFmtId="0" fontId="6" fillId="0" borderId="0" xfId="3" applyAlignment="1">
      <alignment horizontal="center"/>
    </xf>
    <xf numFmtId="181" fontId="6" fillId="0" borderId="0" xfId="3" applyNumberFormat="1" applyAlignment="1">
      <alignment horizontal="center"/>
    </xf>
    <xf numFmtId="1" fontId="6" fillId="0" borderId="0" xfId="3" applyNumberFormat="1" applyAlignment="1">
      <alignment horizontal="center"/>
    </xf>
    <xf numFmtId="179" fontId="6" fillId="9" borderId="2" xfId="2" applyNumberFormat="1" applyFill="1" applyBorder="1" applyAlignment="1" applyProtection="1">
      <alignment horizontal="center" vertical="center"/>
      <protection locked="0"/>
    </xf>
    <xf numFmtId="9" fontId="10" fillId="9" borderId="2" xfId="5" applyFont="1" applyFill="1" applyBorder="1" applyAlignment="1" applyProtection="1">
      <alignment horizontal="center" vertical="center"/>
      <protection locked="0"/>
    </xf>
    <xf numFmtId="0" fontId="10" fillId="7" borderId="2" xfId="3" applyFont="1" applyFill="1" applyBorder="1" applyAlignment="1">
      <alignment horizontal="center" vertical="center"/>
    </xf>
    <xf numFmtId="10" fontId="10" fillId="9" borderId="2" xfId="5" applyNumberFormat="1" applyFont="1" applyFill="1" applyBorder="1" applyAlignment="1">
      <alignment horizontal="center" vertical="center"/>
    </xf>
    <xf numFmtId="9" fontId="10" fillId="5" borderId="2" xfId="5" applyFont="1" applyFill="1" applyBorder="1" applyAlignment="1">
      <alignment horizontal="center" vertical="center"/>
    </xf>
    <xf numFmtId="177" fontId="6" fillId="9" borderId="2" xfId="2" applyNumberFormat="1" applyFill="1" applyBorder="1" applyAlignment="1" applyProtection="1">
      <alignment horizontal="center" vertical="center"/>
      <protection locked="0"/>
    </xf>
    <xf numFmtId="0" fontId="6" fillId="9" borderId="2" xfId="2" applyFill="1" applyBorder="1" applyAlignment="1" applyProtection="1">
      <alignment horizontal="center" vertical="center"/>
      <protection locked="0"/>
    </xf>
    <xf numFmtId="185" fontId="21" fillId="8" borderId="2" xfId="2" applyNumberFormat="1" applyFont="1" applyFill="1" applyBorder="1" applyAlignment="1" applyProtection="1">
      <alignment horizontal="center" vertical="center"/>
      <protection locked="0"/>
    </xf>
    <xf numFmtId="185" fontId="10" fillId="8" borderId="2" xfId="2" applyNumberFormat="1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/>
    </xf>
    <xf numFmtId="2" fontId="6" fillId="5" borderId="2" xfId="2" applyNumberFormat="1" applyFill="1" applyBorder="1" applyAlignment="1">
      <alignment horizontal="center" vertical="center"/>
    </xf>
    <xf numFmtId="178" fontId="6" fillId="3" borderId="2" xfId="2" applyNumberFormat="1" applyFill="1" applyBorder="1" applyAlignment="1" applyProtection="1">
      <alignment vertical="center"/>
      <protection locked="0"/>
    </xf>
    <xf numFmtId="186" fontId="6" fillId="5" borderId="2" xfId="2" applyNumberFormat="1" applyFill="1" applyBorder="1" applyAlignment="1" applyProtection="1">
      <alignment horizontal="center" vertical="center"/>
      <protection locked="0"/>
    </xf>
    <xf numFmtId="186" fontId="22" fillId="5" borderId="2" xfId="0" applyNumberFormat="1" applyFont="1" applyFill="1" applyBorder="1" applyAlignment="1">
      <alignment horizontal="center"/>
    </xf>
    <xf numFmtId="186" fontId="12" fillId="5" borderId="2" xfId="2" applyNumberFormat="1" applyFont="1" applyFill="1" applyBorder="1" applyAlignment="1" applyProtection="1">
      <alignment horizontal="center" vertical="center"/>
      <protection locked="0"/>
    </xf>
    <xf numFmtId="181" fontId="18" fillId="5" borderId="2" xfId="5" applyNumberFormat="1" applyFont="1" applyFill="1" applyBorder="1" applyAlignment="1">
      <alignment horizontal="center" vertical="center"/>
    </xf>
    <xf numFmtId="0" fontId="10" fillId="5" borderId="2" xfId="5" applyNumberFormat="1" applyFont="1" applyFill="1" applyBorder="1" applyAlignment="1">
      <alignment horizontal="center" vertical="center"/>
    </xf>
    <xf numFmtId="178" fontId="20" fillId="9" borderId="12" xfId="2" applyNumberFormat="1" applyFont="1" applyFill="1" applyBorder="1" applyAlignment="1" applyProtection="1">
      <alignment horizontal="center" vertical="center"/>
      <protection locked="0"/>
    </xf>
    <xf numFmtId="184" fontId="18" fillId="9" borderId="2" xfId="3" applyNumberFormat="1" applyFont="1" applyFill="1" applyBorder="1" applyAlignment="1">
      <alignment horizontal="center" vertical="center"/>
    </xf>
    <xf numFmtId="10" fontId="10" fillId="9" borderId="2" xfId="1" applyNumberFormat="1" applyFont="1" applyFill="1" applyBorder="1" applyAlignment="1">
      <alignment horizontal="center" vertical="center"/>
    </xf>
    <xf numFmtId="186" fontId="6" fillId="5" borderId="2" xfId="2" applyNumberFormat="1" applyFill="1" applyBorder="1" applyAlignment="1" applyProtection="1">
      <alignment vertical="center"/>
      <protection locked="0"/>
    </xf>
    <xf numFmtId="186" fontId="22" fillId="5" borderId="2" xfId="0" applyNumberFormat="1" applyFont="1" applyFill="1" applyBorder="1"/>
    <xf numFmtId="186" fontId="12" fillId="5" borderId="2" xfId="2" applyNumberFormat="1" applyFont="1" applyFill="1" applyBorder="1" applyAlignment="1" applyProtection="1">
      <alignment vertical="center"/>
      <protection locked="0"/>
    </xf>
    <xf numFmtId="180" fontId="22" fillId="5" borderId="2" xfId="0" applyNumberFormat="1" applyFont="1" applyFill="1" applyBorder="1"/>
    <xf numFmtId="10" fontId="10" fillId="10" borderId="2" xfId="1" applyNumberFormat="1" applyFont="1" applyFill="1" applyBorder="1" applyAlignment="1">
      <alignment horizontal="center" vertical="center"/>
    </xf>
    <xf numFmtId="176" fontId="0" fillId="0" borderId="0" xfId="0" applyNumberFormat="1"/>
    <xf numFmtId="0" fontId="10" fillId="7" borderId="15" xfId="3" applyFont="1" applyFill="1" applyBorder="1" applyAlignment="1">
      <alignment horizontal="center" vertical="center"/>
    </xf>
    <xf numFmtId="0" fontId="6" fillId="0" borderId="0" xfId="3" applyAlignment="1">
      <alignment vertical="center"/>
    </xf>
    <xf numFmtId="0" fontId="2" fillId="3" borderId="0" xfId="3" applyFont="1" applyFill="1" applyAlignment="1">
      <alignment horizontal="center" vertical="center"/>
    </xf>
    <xf numFmtId="0" fontId="6" fillId="3" borderId="0" xfId="3" applyFill="1" applyAlignment="1">
      <alignment horizontal="right"/>
    </xf>
    <xf numFmtId="0" fontId="7" fillId="3" borderId="1" xfId="3" applyFont="1" applyFill="1" applyBorder="1" applyAlignment="1">
      <alignment horizontal="center" vertical="center"/>
    </xf>
    <xf numFmtId="0" fontId="6" fillId="3" borderId="2" xfId="3" applyFill="1" applyBorder="1" applyAlignment="1" applyProtection="1">
      <alignment horizontal="center" vertical="center"/>
      <protection locked="0"/>
    </xf>
    <xf numFmtId="0" fontId="6" fillId="4" borderId="2" xfId="3" applyFill="1" applyBorder="1" applyAlignment="1" applyProtection="1">
      <alignment horizontal="center" vertical="center"/>
      <protection locked="0"/>
    </xf>
    <xf numFmtId="0" fontId="12" fillId="3" borderId="2" xfId="3" applyFont="1" applyFill="1" applyBorder="1" applyAlignment="1" applyProtection="1">
      <alignment horizontal="center" vertical="center"/>
      <protection locked="0"/>
    </xf>
    <xf numFmtId="2" fontId="6" fillId="3" borderId="2" xfId="3" applyNumberFormat="1" applyFill="1" applyBorder="1" applyAlignment="1" applyProtection="1">
      <alignment horizontal="right" vertical="center"/>
      <protection locked="0"/>
    </xf>
    <xf numFmtId="0" fontId="13" fillId="3" borderId="3" xfId="3" applyFont="1" applyFill="1" applyBorder="1" applyAlignment="1" applyProtection="1">
      <alignment horizontal="center" vertical="center"/>
      <protection locked="0"/>
    </xf>
    <xf numFmtId="177" fontId="14" fillId="3" borderId="2" xfId="3" applyNumberFormat="1" applyFont="1" applyFill="1" applyBorder="1" applyAlignment="1">
      <alignment horizontal="center" vertical="center"/>
    </xf>
    <xf numFmtId="176" fontId="14" fillId="3" borderId="2" xfId="3" applyNumberFormat="1" applyFont="1" applyFill="1" applyBorder="1" applyAlignment="1">
      <alignment horizontal="center" vertical="center"/>
    </xf>
    <xf numFmtId="0" fontId="15" fillId="3" borderId="2" xfId="3" applyFont="1" applyFill="1" applyBorder="1" applyAlignment="1">
      <alignment horizontal="left" vertical="center"/>
    </xf>
    <xf numFmtId="2" fontId="14" fillId="3" borderId="2" xfId="3" applyNumberFormat="1" applyFont="1" applyFill="1" applyBorder="1" applyAlignment="1">
      <alignment horizontal="center" vertical="center"/>
    </xf>
    <xf numFmtId="186" fontId="6" fillId="5" borderId="2" xfId="3" applyNumberFormat="1" applyFill="1" applyBorder="1" applyAlignment="1">
      <alignment horizontal="center" vertical="center"/>
    </xf>
    <xf numFmtId="178" fontId="12" fillId="3" borderId="2" xfId="2" applyNumberFormat="1" applyFont="1" applyFill="1" applyBorder="1" applyAlignment="1" applyProtection="1">
      <alignment horizontal="center" vertical="center"/>
      <protection locked="0"/>
    </xf>
    <xf numFmtId="0" fontId="16" fillId="7" borderId="2" xfId="3" applyFont="1" applyFill="1" applyBorder="1" applyAlignment="1">
      <alignment horizontal="center" vertical="center"/>
    </xf>
    <xf numFmtId="178" fontId="10" fillId="7" borderId="2" xfId="2" applyNumberFormat="1" applyFont="1" applyFill="1" applyBorder="1" applyAlignment="1" applyProtection="1">
      <alignment horizontal="center" vertical="center"/>
      <protection locked="0"/>
    </xf>
    <xf numFmtId="178" fontId="14" fillId="7" borderId="2" xfId="2" applyNumberFormat="1" applyFont="1" applyFill="1" applyBorder="1" applyAlignment="1" applyProtection="1">
      <alignment horizontal="center" vertical="center"/>
      <protection locked="0"/>
    </xf>
    <xf numFmtId="9" fontId="18" fillId="5" borderId="2" xfId="5" applyFont="1" applyFill="1" applyBorder="1" applyAlignment="1">
      <alignment horizontal="center" vertical="center"/>
    </xf>
    <xf numFmtId="0" fontId="19" fillId="5" borderId="0" xfId="3" applyFont="1" applyFill="1" applyAlignment="1">
      <alignment horizontal="center" vertical="center"/>
    </xf>
    <xf numFmtId="0" fontId="10" fillId="8" borderId="2" xfId="3" applyFont="1" applyFill="1" applyBorder="1" applyAlignment="1">
      <alignment horizontal="center" vertical="center"/>
    </xf>
    <xf numFmtId="1" fontId="18" fillId="5" borderId="2" xfId="3" applyNumberFormat="1" applyFont="1" applyFill="1" applyBorder="1" applyAlignment="1">
      <alignment horizontal="center" vertical="center"/>
    </xf>
    <xf numFmtId="0" fontId="27" fillId="0" borderId="0" xfId="3" applyFont="1" applyAlignment="1">
      <alignment vertical="center"/>
    </xf>
    <xf numFmtId="10" fontId="0" fillId="0" borderId="0" xfId="0" applyNumberFormat="1"/>
    <xf numFmtId="0" fontId="10" fillId="7" borderId="15" xfId="3" applyFont="1" applyFill="1" applyBorder="1" applyAlignment="1">
      <alignment horizontal="left" vertical="center"/>
    </xf>
    <xf numFmtId="10" fontId="10" fillId="10" borderId="2" xfId="5" applyNumberFormat="1" applyFont="1" applyFill="1" applyBorder="1" applyAlignment="1">
      <alignment horizontal="center" vertical="center"/>
    </xf>
    <xf numFmtId="0" fontId="0" fillId="11" borderId="0" xfId="0" applyFill="1"/>
    <xf numFmtId="176" fontId="0" fillId="11" borderId="0" xfId="0" applyNumberFormat="1" applyFill="1"/>
    <xf numFmtId="0" fontId="2" fillId="3" borderId="1" xfId="2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right"/>
    </xf>
    <xf numFmtId="0" fontId="12" fillId="3" borderId="2" xfId="2" applyFont="1" applyFill="1" applyBorder="1" applyAlignment="1" applyProtection="1">
      <alignment horizontal="center" vertical="center"/>
      <protection locked="0"/>
    </xf>
    <xf numFmtId="0" fontId="12" fillId="3" borderId="3" xfId="2" applyFont="1" applyFill="1" applyBorder="1" applyAlignment="1" applyProtection="1">
      <alignment horizontal="left" vertical="center"/>
      <protection locked="0"/>
    </xf>
    <xf numFmtId="0" fontId="12" fillId="3" borderId="4" xfId="2" applyFont="1" applyFill="1" applyBorder="1" applyAlignment="1" applyProtection="1">
      <alignment horizontal="left" vertical="center"/>
      <protection locked="0"/>
    </xf>
    <xf numFmtId="0" fontId="12" fillId="3" borderId="5" xfId="2" applyFont="1" applyFill="1" applyBorder="1" applyAlignment="1" applyProtection="1">
      <alignment horizontal="left" vertical="center"/>
      <protection locked="0"/>
    </xf>
    <xf numFmtId="2" fontId="6" fillId="3" borderId="2" xfId="2" applyNumberForma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0" fontId="10" fillId="3" borderId="2" xfId="2" applyFont="1" applyFill="1" applyBorder="1" applyAlignment="1" applyProtection="1">
      <alignment horizontal="center" vertical="center"/>
      <protection locked="0"/>
    </xf>
    <xf numFmtId="0" fontId="10" fillId="3" borderId="2" xfId="2" applyFont="1" applyFill="1" applyBorder="1" applyAlignment="1" applyProtection="1">
      <alignment horizontal="center" vertical="center" wrapText="1"/>
      <protection locked="0"/>
    </xf>
    <xf numFmtId="0" fontId="10" fillId="3" borderId="2" xfId="2" applyFont="1" applyFill="1" applyBorder="1" applyAlignment="1">
      <alignment horizontal="center" vertical="center" wrapText="1"/>
    </xf>
    <xf numFmtId="0" fontId="6" fillId="12" borderId="2" xfId="2" applyFill="1" applyBorder="1" applyAlignment="1">
      <alignment horizontal="center" vertical="center"/>
    </xf>
    <xf numFmtId="0" fontId="6" fillId="3" borderId="2" xfId="2" applyFill="1" applyBorder="1" applyAlignment="1">
      <alignment horizontal="center" vertical="center"/>
    </xf>
    <xf numFmtId="183" fontId="6" fillId="12" borderId="2" xfId="2" applyNumberFormat="1" applyFill="1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178" fontId="6" fillId="0" borderId="2" xfId="2" applyNumberFormat="1" applyBorder="1" applyAlignment="1" applyProtection="1">
      <alignment horizontal="center" vertical="center"/>
      <protection locked="0"/>
    </xf>
    <xf numFmtId="178" fontId="12" fillId="0" borderId="2" xfId="2" applyNumberFormat="1" applyFont="1" applyBorder="1" applyAlignment="1" applyProtection="1">
      <alignment horizontal="center" vertical="center"/>
      <protection locked="0"/>
    </xf>
    <xf numFmtId="176" fontId="6" fillId="12" borderId="2" xfId="2" applyNumberFormat="1" applyFill="1" applyBorder="1" applyAlignment="1">
      <alignment horizontal="center" vertical="center"/>
    </xf>
    <xf numFmtId="178" fontId="6" fillId="9" borderId="2" xfId="2" applyNumberFormat="1" applyFill="1" applyBorder="1" applyAlignment="1" applyProtection="1">
      <alignment horizontal="center" vertical="center"/>
      <protection locked="0"/>
    </xf>
    <xf numFmtId="0" fontId="12" fillId="9" borderId="2" xfId="2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>
      <alignment vertical="center"/>
    </xf>
    <xf numFmtId="0" fontId="6" fillId="3" borderId="0" xfId="0" applyFont="1" applyFill="1" applyAlignment="1">
      <alignment horizontal="right" vertical="center"/>
    </xf>
    <xf numFmtId="186" fontId="22" fillId="5" borderId="2" xfId="0" applyNumberFormat="1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 applyProtection="1">
      <alignment horizontal="center" vertical="center"/>
      <protection locked="0"/>
    </xf>
    <xf numFmtId="0" fontId="33" fillId="0" borderId="0" xfId="6" applyFont="1" applyAlignment="1">
      <alignment vertical="center"/>
    </xf>
    <xf numFmtId="0" fontId="34" fillId="0" borderId="0" xfId="0" applyFont="1"/>
    <xf numFmtId="0" fontId="7" fillId="3" borderId="1" xfId="3" applyFont="1" applyFill="1" applyBorder="1" applyAlignment="1">
      <alignment horizontal="left" vertical="center"/>
    </xf>
    <xf numFmtId="0" fontId="33" fillId="0" borderId="0" xfId="3" applyFont="1" applyAlignment="1">
      <alignment vertical="center"/>
    </xf>
    <xf numFmtId="10" fontId="6" fillId="0" borderId="0" xfId="3" applyNumberFormat="1" applyAlignment="1">
      <alignment vertical="center"/>
    </xf>
    <xf numFmtId="0" fontId="10" fillId="8" borderId="11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 applyProtection="1">
      <alignment vertical="center" wrapText="1"/>
      <protection locked="0"/>
    </xf>
    <xf numFmtId="0" fontId="9" fillId="3" borderId="4" xfId="0" applyFont="1" applyFill="1" applyBorder="1" applyAlignment="1" applyProtection="1">
      <alignment vertical="center" wrapText="1"/>
      <protection locked="0"/>
    </xf>
    <xf numFmtId="0" fontId="9" fillId="3" borderId="5" xfId="0" applyFont="1" applyFill="1" applyBorder="1" applyAlignment="1" applyProtection="1">
      <alignment vertical="center" wrapText="1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5" xfId="0" applyFont="1" applyFill="1" applyBorder="1" applyAlignment="1" applyProtection="1">
      <alignment horizontal="center" vertical="center" wrapText="1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6" fillId="3" borderId="6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left" vertical="center"/>
      <protection locked="0"/>
    </xf>
    <xf numFmtId="0" fontId="12" fillId="0" borderId="3" xfId="0" applyFont="1" applyBorder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left" vertical="center"/>
      <protection locked="0"/>
    </xf>
    <xf numFmtId="0" fontId="12" fillId="0" borderId="5" xfId="0" applyFont="1" applyBorder="1" applyAlignment="1" applyProtection="1">
      <alignment horizontal="left" vertical="center"/>
      <protection locked="0"/>
    </xf>
    <xf numFmtId="0" fontId="12" fillId="3" borderId="2" xfId="0" applyFont="1" applyFill="1" applyBorder="1" applyAlignment="1">
      <alignment horizontal="left" vertical="center"/>
    </xf>
    <xf numFmtId="0" fontId="13" fillId="7" borderId="7" xfId="2" applyFont="1" applyFill="1" applyBorder="1" applyAlignment="1" applyProtection="1">
      <alignment horizontal="center" vertical="center"/>
      <protection locked="0"/>
    </xf>
    <xf numFmtId="0" fontId="13" fillId="7" borderId="8" xfId="2" applyFont="1" applyFill="1" applyBorder="1" applyAlignment="1" applyProtection="1">
      <alignment horizontal="center" vertical="center"/>
      <protection locked="0"/>
    </xf>
    <xf numFmtId="0" fontId="13" fillId="7" borderId="9" xfId="2" applyFont="1" applyFill="1" applyBorder="1" applyAlignment="1" applyProtection="1">
      <alignment horizontal="center" vertical="center"/>
      <protection locked="0"/>
    </xf>
    <xf numFmtId="0" fontId="13" fillId="7" borderId="10" xfId="2" applyFont="1" applyFill="1" applyBorder="1" applyAlignment="1" applyProtection="1">
      <alignment horizontal="center" vertical="center"/>
      <protection locked="0"/>
    </xf>
    <xf numFmtId="0" fontId="13" fillId="7" borderId="13" xfId="2" applyFont="1" applyFill="1" applyBorder="1" applyAlignment="1" applyProtection="1">
      <alignment horizontal="center" vertical="center"/>
      <protection locked="0"/>
    </xf>
    <xf numFmtId="0" fontId="13" fillId="7" borderId="14" xfId="2" applyFont="1" applyFill="1" applyBorder="1" applyAlignment="1" applyProtection="1">
      <alignment horizontal="center" vertical="center"/>
      <protection locked="0"/>
    </xf>
    <xf numFmtId="179" fontId="10" fillId="8" borderId="2" xfId="2" applyNumberFormat="1" applyFont="1" applyFill="1" applyBorder="1" applyAlignment="1" applyProtection="1">
      <alignment horizontal="center" vertical="center"/>
      <protection locked="0"/>
    </xf>
    <xf numFmtId="0" fontId="2" fillId="2" borderId="0" xfId="3" applyFont="1" applyFill="1" applyAlignment="1">
      <alignment horizontal="center" vertical="center"/>
    </xf>
    <xf numFmtId="0" fontId="6" fillId="4" borderId="2" xfId="3" applyFill="1" applyBorder="1" applyAlignment="1" applyProtection="1">
      <alignment horizontal="left" vertical="center"/>
      <protection locked="0"/>
    </xf>
    <xf numFmtId="14" fontId="6" fillId="4" borderId="2" xfId="3" applyNumberFormat="1" applyFill="1" applyBorder="1" applyAlignment="1" applyProtection="1">
      <alignment horizontal="center" vertical="center"/>
      <protection locked="0"/>
    </xf>
    <xf numFmtId="0" fontId="9" fillId="4" borderId="3" xfId="3" applyFont="1" applyFill="1" applyBorder="1" applyAlignment="1" applyProtection="1">
      <alignment horizontal="left" vertical="center"/>
      <protection locked="0"/>
    </xf>
    <xf numFmtId="0" fontId="9" fillId="4" borderId="4" xfId="3" applyFont="1" applyFill="1" applyBorder="1" applyAlignment="1" applyProtection="1">
      <alignment horizontal="left" vertical="center"/>
      <protection locked="0"/>
    </xf>
    <xf numFmtId="0" fontId="9" fillId="4" borderId="5" xfId="3" applyFont="1" applyFill="1" applyBorder="1" applyAlignment="1" applyProtection="1">
      <alignment horizontal="left" vertical="center"/>
      <protection locked="0"/>
    </xf>
    <xf numFmtId="0" fontId="23" fillId="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4" borderId="2" xfId="0" applyFont="1" applyFill="1" applyBorder="1" applyAlignment="1" applyProtection="1">
      <alignment horizontal="left" vertical="center"/>
      <protection locked="0"/>
    </xf>
    <xf numFmtId="14" fontId="6" fillId="4" borderId="2" xfId="0" applyNumberFormat="1" applyFont="1" applyFill="1" applyBorder="1" applyAlignment="1" applyProtection="1">
      <alignment horizontal="center" vertical="center"/>
      <protection locked="0"/>
    </xf>
    <xf numFmtId="0" fontId="9" fillId="4" borderId="3" xfId="0" applyFont="1" applyFill="1" applyBorder="1" applyAlignment="1" applyProtection="1">
      <alignment horizontal="left" vertical="center"/>
      <protection locked="0"/>
    </xf>
    <xf numFmtId="0" fontId="9" fillId="4" borderId="4" xfId="0" applyFont="1" applyFill="1" applyBorder="1" applyAlignment="1" applyProtection="1">
      <alignment horizontal="left" vertical="center"/>
      <protection locked="0"/>
    </xf>
    <xf numFmtId="0" fontId="9" fillId="4" borderId="5" xfId="0" applyFont="1" applyFill="1" applyBorder="1" applyAlignment="1" applyProtection="1">
      <alignment horizontal="left" vertical="center"/>
      <protection locked="0"/>
    </xf>
    <xf numFmtId="0" fontId="9" fillId="4" borderId="2" xfId="0" applyFont="1" applyFill="1" applyBorder="1" applyAlignment="1" applyProtection="1">
      <alignment horizontal="center" vertical="center" wrapText="1"/>
      <protection locked="0"/>
    </xf>
    <xf numFmtId="0" fontId="24" fillId="0" borderId="3" xfId="0" applyFont="1" applyBorder="1" applyAlignment="1" applyProtection="1">
      <alignment horizontal="left" vertical="center"/>
      <protection locked="0"/>
    </xf>
    <xf numFmtId="0" fontId="25" fillId="0" borderId="4" xfId="0" applyFont="1" applyBorder="1" applyAlignment="1" applyProtection="1">
      <alignment horizontal="left" vertical="center"/>
      <protection locked="0"/>
    </xf>
    <xf numFmtId="0" fontId="25" fillId="0" borderId="5" xfId="0" applyFont="1" applyBorder="1" applyAlignment="1" applyProtection="1">
      <alignment horizontal="left" vertical="center"/>
      <protection locked="0"/>
    </xf>
    <xf numFmtId="14" fontId="26" fillId="3" borderId="2" xfId="2" applyNumberFormat="1" applyFont="1" applyFill="1" applyBorder="1" applyAlignment="1" applyProtection="1">
      <alignment horizontal="center" vertical="center"/>
      <protection locked="0"/>
    </xf>
    <xf numFmtId="0" fontId="26" fillId="3" borderId="2" xfId="2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center"/>
      <protection locked="0"/>
    </xf>
    <xf numFmtId="14" fontId="6" fillId="3" borderId="2" xfId="0" applyNumberFormat="1" applyFont="1" applyFill="1" applyBorder="1" applyAlignment="1" applyProtection="1">
      <alignment horizontal="center" vertical="center"/>
      <protection locked="0"/>
    </xf>
    <xf numFmtId="0" fontId="9" fillId="4" borderId="2" xfId="3" applyFont="1" applyFill="1" applyBorder="1" applyAlignment="1" applyProtection="1">
      <alignment horizontal="center" vertical="center" wrapText="1"/>
      <protection locked="0"/>
    </xf>
    <xf numFmtId="0" fontId="6" fillId="3" borderId="2" xfId="3" applyFill="1" applyBorder="1" applyAlignment="1" applyProtection="1">
      <alignment horizontal="center" vertical="center"/>
      <protection locked="0"/>
    </xf>
    <xf numFmtId="0" fontId="6" fillId="3" borderId="6" xfId="3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left" vertical="center"/>
      <protection locked="0"/>
    </xf>
    <xf numFmtId="0" fontId="9" fillId="3" borderId="4" xfId="0" applyFont="1" applyFill="1" applyBorder="1" applyAlignment="1" applyProtection="1">
      <alignment horizontal="left" vertical="center"/>
      <protection locked="0"/>
    </xf>
    <xf numFmtId="0" fontId="9" fillId="3" borderId="5" xfId="0" applyFont="1" applyFill="1" applyBorder="1" applyAlignment="1" applyProtection="1">
      <alignment horizontal="left" vertical="center"/>
      <protection locked="0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0" fontId="6" fillId="3" borderId="2" xfId="3" applyFill="1" applyBorder="1" applyAlignment="1" applyProtection="1">
      <alignment horizontal="left" vertical="center"/>
      <protection locked="0"/>
    </xf>
    <xf numFmtId="0" fontId="12" fillId="3" borderId="2" xfId="3" applyFont="1" applyFill="1" applyBorder="1" applyAlignment="1" applyProtection="1">
      <alignment horizontal="left" vertical="center"/>
      <protection locked="0"/>
    </xf>
    <xf numFmtId="0" fontId="10" fillId="8" borderId="11" xfId="3" applyFont="1" applyFill="1" applyBorder="1" applyAlignment="1">
      <alignment horizontal="center" vertical="center" wrapText="1"/>
    </xf>
    <xf numFmtId="0" fontId="18" fillId="8" borderId="6" xfId="3" applyFont="1" applyFill="1" applyBorder="1" applyAlignment="1">
      <alignment horizontal="center" vertical="center" wrapText="1"/>
    </xf>
    <xf numFmtId="0" fontId="12" fillId="3" borderId="2" xfId="3" applyFont="1" applyFill="1" applyBorder="1" applyAlignment="1">
      <alignment horizontal="left" vertical="center"/>
    </xf>
    <xf numFmtId="0" fontId="12" fillId="3" borderId="3" xfId="3" applyFont="1" applyFill="1" applyBorder="1" applyAlignment="1" applyProtection="1">
      <alignment horizontal="left" vertical="center"/>
      <protection locked="0"/>
    </xf>
    <xf numFmtId="0" fontId="12" fillId="3" borderId="4" xfId="3" applyFont="1" applyFill="1" applyBorder="1" applyAlignment="1" applyProtection="1">
      <alignment horizontal="left" vertical="center"/>
      <protection locked="0"/>
    </xf>
    <xf numFmtId="0" fontId="12" fillId="3" borderId="5" xfId="3" applyFont="1" applyFill="1" applyBorder="1" applyAlignment="1" applyProtection="1">
      <alignment horizontal="left" vertic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2" fillId="8" borderId="16" xfId="2" applyFont="1" applyFill="1" applyBorder="1" applyAlignment="1">
      <alignment horizontal="center" vertical="center"/>
    </xf>
    <xf numFmtId="0" fontId="6" fillId="3" borderId="3" xfId="2" applyFill="1" applyBorder="1" applyAlignment="1" applyProtection="1">
      <alignment horizontal="left" vertical="center"/>
      <protection locked="0"/>
    </xf>
    <xf numFmtId="0" fontId="6" fillId="3" borderId="4" xfId="2" applyFill="1" applyBorder="1" applyAlignment="1" applyProtection="1">
      <alignment horizontal="left" vertical="center"/>
      <protection locked="0"/>
    </xf>
    <xf numFmtId="0" fontId="6" fillId="3" borderId="5" xfId="2" applyFill="1" applyBorder="1" applyAlignment="1" applyProtection="1">
      <alignment horizontal="left" vertical="center"/>
      <protection locked="0"/>
    </xf>
    <xf numFmtId="0" fontId="12" fillId="3" borderId="2" xfId="2" applyFont="1" applyFill="1" applyBorder="1" applyAlignment="1" applyProtection="1">
      <alignment horizontal="left" vertical="center" wrapText="1" shrinkToFit="1"/>
      <protection locked="0"/>
    </xf>
    <xf numFmtId="0" fontId="9" fillId="3" borderId="2" xfId="2" applyFont="1" applyFill="1" applyBorder="1" applyAlignment="1" applyProtection="1">
      <alignment horizontal="center" vertical="center" wrapText="1" shrinkToFit="1"/>
      <protection locked="0"/>
    </xf>
    <xf numFmtId="0" fontId="10" fillId="3" borderId="2" xfId="2" applyFont="1" applyFill="1" applyBorder="1" applyAlignment="1" applyProtection="1">
      <alignment horizontal="center" vertical="center" wrapText="1" shrinkToFit="1"/>
      <protection locked="0"/>
    </xf>
    <xf numFmtId="0" fontId="6" fillId="3" borderId="2" xfId="2" applyFill="1" applyBorder="1" applyAlignment="1" applyProtection="1">
      <alignment horizontal="center" vertical="center"/>
      <protection locked="0"/>
    </xf>
    <xf numFmtId="0" fontId="23" fillId="9" borderId="0" xfId="0" applyFont="1" applyFill="1" applyAlignment="1">
      <alignment horizontal="center" vertical="center" wrapText="1"/>
    </xf>
    <xf numFmtId="0" fontId="12" fillId="3" borderId="3" xfId="2" applyFont="1" applyFill="1" applyBorder="1" applyAlignment="1" applyProtection="1">
      <alignment horizontal="left" vertical="center"/>
      <protection locked="0"/>
    </xf>
    <xf numFmtId="0" fontId="12" fillId="3" borderId="4" xfId="2" applyFont="1" applyFill="1" applyBorder="1" applyAlignment="1" applyProtection="1">
      <alignment horizontal="left" vertical="center"/>
      <protection locked="0"/>
    </xf>
    <xf numFmtId="0" fontId="12" fillId="3" borderId="5" xfId="2" applyFont="1" applyFill="1" applyBorder="1" applyAlignment="1" applyProtection="1">
      <alignment horizontal="left" vertical="center"/>
      <protection locked="0"/>
    </xf>
    <xf numFmtId="0" fontId="32" fillId="0" borderId="3" xfId="0" applyFont="1" applyBorder="1" applyAlignment="1" applyProtection="1">
      <alignment horizontal="left" vertical="center"/>
      <protection locked="0"/>
    </xf>
    <xf numFmtId="0" fontId="35" fillId="0" borderId="0" xfId="0" applyFont="1"/>
    <xf numFmtId="0" fontId="10" fillId="0" borderId="0" xfId="0" applyFont="1"/>
    <xf numFmtId="0" fontId="26" fillId="3" borderId="0" xfId="0" applyFont="1" applyFill="1" applyAlignment="1">
      <alignment horizontal="center" vertical="center"/>
    </xf>
    <xf numFmtId="0" fontId="24" fillId="0" borderId="4" xfId="0" applyFont="1" applyBorder="1" applyAlignment="1" applyProtection="1">
      <alignment horizontal="left" vertical="center"/>
      <protection locked="0"/>
    </xf>
    <xf numFmtId="0" fontId="24" fillId="0" borderId="5" xfId="0" applyFont="1" applyBorder="1" applyAlignment="1" applyProtection="1">
      <alignment horizontal="left" vertical="center"/>
      <protection locked="0"/>
    </xf>
    <xf numFmtId="0" fontId="10" fillId="3" borderId="3" xfId="0" applyFont="1" applyFill="1" applyBorder="1" applyAlignment="1" applyProtection="1">
      <alignment horizontal="left" vertical="center"/>
      <protection locked="0"/>
    </xf>
    <xf numFmtId="0" fontId="10" fillId="3" borderId="4" xfId="0" applyFont="1" applyFill="1" applyBorder="1" applyAlignment="1" applyProtection="1">
      <alignment horizontal="left" vertical="center"/>
      <protection locked="0"/>
    </xf>
    <xf numFmtId="0" fontId="10" fillId="3" borderId="5" xfId="0" applyFont="1" applyFill="1" applyBorder="1" applyAlignment="1" applyProtection="1">
      <alignment horizontal="left" vertical="center"/>
      <protection locked="0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6" fillId="0" borderId="2" xfId="2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5" xfId="0" applyFont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>
      <alignment horizontal="left" vertical="center"/>
    </xf>
    <xf numFmtId="2" fontId="6" fillId="5" borderId="2" xfId="2" applyNumberFormat="1" applyFont="1" applyFill="1" applyBorder="1" applyAlignment="1">
      <alignment horizontal="center" vertical="center"/>
    </xf>
    <xf numFmtId="0" fontId="6" fillId="5" borderId="2" xfId="2" applyFont="1" applyFill="1" applyBorder="1" applyAlignment="1">
      <alignment horizontal="center" vertical="center"/>
    </xf>
    <xf numFmtId="178" fontId="6" fillId="3" borderId="2" xfId="2" applyNumberFormat="1" applyFont="1" applyFill="1" applyBorder="1" applyAlignment="1" applyProtection="1">
      <alignment horizontal="center" vertical="center"/>
      <protection locked="0"/>
    </xf>
    <xf numFmtId="178" fontId="6" fillId="3" borderId="2" xfId="2" applyNumberFormat="1" applyFont="1" applyFill="1" applyBorder="1" applyAlignment="1" applyProtection="1">
      <alignment vertical="center"/>
      <protection locked="0"/>
    </xf>
    <xf numFmtId="186" fontId="6" fillId="5" borderId="2" xfId="2" applyNumberFormat="1" applyFont="1" applyFill="1" applyBorder="1" applyAlignment="1" applyProtection="1">
      <alignment horizontal="center" vertical="center"/>
      <protection locked="0"/>
    </xf>
    <xf numFmtId="186" fontId="10" fillId="5" borderId="2" xfId="0" applyNumberFormat="1" applyFont="1" applyFill="1" applyBorder="1" applyAlignment="1">
      <alignment horizontal="center"/>
    </xf>
    <xf numFmtId="179" fontId="6" fillId="5" borderId="2" xfId="2" applyNumberFormat="1" applyFont="1" applyFill="1" applyBorder="1" applyAlignment="1" applyProtection="1">
      <alignment horizontal="center" vertical="center"/>
      <protection locked="0"/>
    </xf>
    <xf numFmtId="181" fontId="10" fillId="5" borderId="2" xfId="1" applyNumberFormat="1" applyFont="1" applyFill="1" applyBorder="1" applyAlignment="1">
      <alignment horizontal="center" vertical="center"/>
    </xf>
    <xf numFmtId="0" fontId="36" fillId="5" borderId="0" xfId="0" applyFont="1" applyFill="1" applyAlignment="1">
      <alignment horizontal="center" vertical="center"/>
    </xf>
    <xf numFmtId="0" fontId="10" fillId="8" borderId="6" xfId="0" applyFont="1" applyFill="1" applyBorder="1" applyAlignment="1">
      <alignment horizontal="center" vertical="center" wrapText="1"/>
    </xf>
    <xf numFmtId="178" fontId="6" fillId="9" borderId="2" xfId="2" applyNumberFormat="1" applyFont="1" applyFill="1" applyBorder="1" applyAlignment="1" applyProtection="1">
      <alignment horizontal="center" vertical="center"/>
      <protection locked="0"/>
    </xf>
    <xf numFmtId="1" fontId="10" fillId="5" borderId="2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 applyProtection="1">
      <alignment horizontal="center" vertical="center"/>
      <protection locked="0"/>
    </xf>
    <xf numFmtId="0" fontId="35" fillId="0" borderId="0" xfId="0" applyFont="1" applyBorder="1"/>
    <xf numFmtId="178" fontId="20" fillId="10" borderId="12" xfId="2" applyNumberFormat="1" applyFont="1" applyFill="1" applyBorder="1" applyAlignment="1" applyProtection="1">
      <alignment horizontal="center" vertical="center"/>
      <protection locked="0"/>
    </xf>
    <xf numFmtId="0" fontId="34" fillId="0" borderId="0" xfId="0" applyFont="1" applyAlignment="1">
      <alignment vertical="center"/>
    </xf>
    <xf numFmtId="2" fontId="6" fillId="9" borderId="2" xfId="2" applyNumberFormat="1" applyFont="1" applyFill="1" applyBorder="1" applyAlignment="1" applyProtection="1">
      <alignment horizontal="center" vertical="center"/>
      <protection locked="0"/>
    </xf>
    <xf numFmtId="0" fontId="6" fillId="9" borderId="2" xfId="2" applyFont="1" applyFill="1" applyBorder="1" applyAlignment="1" applyProtection="1">
      <alignment horizontal="center" vertical="center"/>
      <protection locked="0"/>
    </xf>
    <xf numFmtId="0" fontId="6" fillId="10" borderId="2" xfId="2" applyFont="1" applyFill="1" applyBorder="1" applyAlignment="1" applyProtection="1">
      <alignment horizontal="center" vertical="center"/>
      <protection locked="0"/>
    </xf>
  </cellXfs>
  <cellStyles count="7">
    <cellStyle name="百分比" xfId="1" builtinId="5"/>
    <cellStyle name="百分比 2" xfId="5" xr:uid="{D3BA6AA4-04F8-4D05-9E6C-F1E9FA225CD6}"/>
    <cellStyle name="常规" xfId="0" builtinId="0"/>
    <cellStyle name="常规 2" xfId="3" xr:uid="{AF5EEDC8-6A16-4253-B58B-024D42C43525}"/>
    <cellStyle name="常规 2 2" xfId="4" xr:uid="{6A7DFFDC-DBF4-46F5-A080-D4FCAB378926}"/>
    <cellStyle name="常规_阿富特报价单（为准）" xfId="6" xr:uid="{B60F03C4-A373-49E7-BB5F-33AE30525457}"/>
    <cellStyle name="一般_HPCEN14P" xfId="2" xr:uid="{45097A23-DA50-4324-A207-C5BB0F6175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95250</xdr:colOff>
      <xdr:row>23</xdr:row>
      <xdr:rowOff>161925</xdr:rowOff>
    </xdr:from>
    <xdr:to>
      <xdr:col>17</xdr:col>
      <xdr:colOff>237764</xdr:colOff>
      <xdr:row>29</xdr:row>
      <xdr:rowOff>28433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CF95E96-D431-41B6-8362-588EABA05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72625" y="5591175"/>
          <a:ext cx="2885714" cy="11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"/>
  <sheetViews>
    <sheetView workbookViewId="0">
      <selection activeCell="O14" sqref="O14"/>
    </sheetView>
  </sheetViews>
  <sheetFormatPr defaultRowHeight="14.25" x14ac:dyDescent="0.2"/>
  <cols>
    <col min="5" max="5" width="11" customWidth="1"/>
    <col min="6" max="6" width="11.25" customWidth="1"/>
    <col min="7" max="7" width="10.75" customWidth="1"/>
    <col min="8" max="8" width="11.375" customWidth="1"/>
    <col min="9" max="9" width="14.625" customWidth="1"/>
  </cols>
  <sheetData>
    <row r="1" spans="1:12" s="1" customFormat="1" ht="25.5" x14ac:dyDescent="0.15">
      <c r="A1" s="171" t="s">
        <v>0</v>
      </c>
      <c r="B1" s="172"/>
      <c r="C1" s="172"/>
      <c r="D1" s="172"/>
      <c r="E1" s="172"/>
      <c r="F1" s="172"/>
      <c r="G1" s="172"/>
      <c r="H1" s="172"/>
      <c r="I1" s="172"/>
      <c r="J1" s="170" t="s">
        <v>64</v>
      </c>
      <c r="K1" s="170"/>
      <c r="L1" s="54"/>
    </row>
    <row r="2" spans="1:12" s="1" customFormat="1" ht="25.5" x14ac:dyDescent="0.15">
      <c r="A2" s="2"/>
      <c r="B2" s="2"/>
      <c r="C2" s="2"/>
      <c r="D2" s="2"/>
      <c r="F2" s="3"/>
      <c r="G2" s="3"/>
      <c r="H2" s="3" t="s">
        <v>1</v>
      </c>
      <c r="I2" s="4" t="s">
        <v>2</v>
      </c>
      <c r="J2" s="170"/>
      <c r="K2" s="170"/>
      <c r="L2" s="1" t="s">
        <v>72</v>
      </c>
    </row>
    <row r="3" spans="1:12" s="1" customFormat="1" x14ac:dyDescent="0.15">
      <c r="A3" s="5" t="s">
        <v>3</v>
      </c>
      <c r="B3" s="173"/>
      <c r="C3" s="173"/>
      <c r="D3" s="173"/>
      <c r="E3" s="173"/>
      <c r="F3" s="173"/>
      <c r="G3" s="5" t="s">
        <v>4</v>
      </c>
      <c r="H3" s="174">
        <v>45133</v>
      </c>
      <c r="I3" s="174"/>
      <c r="J3" s="53" t="s">
        <v>65</v>
      </c>
      <c r="K3" s="53"/>
    </row>
    <row r="4" spans="1:12" s="1" customFormat="1" x14ac:dyDescent="0.15">
      <c r="A4" s="5" t="s">
        <v>5</v>
      </c>
      <c r="B4" s="175" t="s">
        <v>6</v>
      </c>
      <c r="C4" s="176"/>
      <c r="D4" s="176"/>
      <c r="E4" s="176"/>
      <c r="F4" s="177"/>
      <c r="G4" s="5" t="s">
        <v>7</v>
      </c>
      <c r="H4" s="178" t="s">
        <v>8</v>
      </c>
      <c r="I4" s="178"/>
      <c r="J4" s="54"/>
      <c r="K4" s="54"/>
    </row>
    <row r="5" spans="1:12" s="1" customFormat="1" x14ac:dyDescent="0.15">
      <c r="A5" s="150" t="s">
        <v>9</v>
      </c>
      <c r="B5" s="151" t="s">
        <v>10</v>
      </c>
      <c r="C5" s="152" t="s">
        <v>11</v>
      </c>
      <c r="D5" s="152"/>
      <c r="E5" s="152"/>
      <c r="F5" s="152"/>
      <c r="G5" s="6" t="s">
        <v>12</v>
      </c>
      <c r="H5" s="6" t="s">
        <v>13</v>
      </c>
      <c r="I5" s="6" t="s">
        <v>14</v>
      </c>
      <c r="J5" s="54"/>
      <c r="K5" s="54"/>
    </row>
    <row r="6" spans="1:12" s="1" customFormat="1" ht="15.75" x14ac:dyDescent="0.15">
      <c r="A6" s="150"/>
      <c r="B6" s="150"/>
      <c r="C6" s="152"/>
      <c r="D6" s="152"/>
      <c r="E6" s="152"/>
      <c r="F6" s="152"/>
      <c r="G6" s="6" t="s">
        <v>15</v>
      </c>
      <c r="H6" s="7" t="s">
        <v>16</v>
      </c>
      <c r="I6" s="7" t="s">
        <v>17</v>
      </c>
      <c r="J6" s="54"/>
      <c r="K6" s="54"/>
    </row>
    <row r="7" spans="1:12" s="1" customFormat="1" ht="15.75" x14ac:dyDescent="0.15">
      <c r="A7" s="8" t="s">
        <v>18</v>
      </c>
      <c r="B7" s="9" t="s">
        <v>19</v>
      </c>
      <c r="C7" s="184" t="s">
        <v>6</v>
      </c>
      <c r="D7" s="184"/>
      <c r="E7" s="184"/>
      <c r="F7" s="184"/>
      <c r="G7" s="10">
        <f>0.19^2*0.7854*8.89/10*24*1.015^2*3</f>
        <v>1.8696677663968915</v>
      </c>
      <c r="H7" s="63">
        <f>(J7+1300)/1.13/1000+1.21</f>
        <v>64.307345132743365</v>
      </c>
      <c r="I7" s="11">
        <f>G7*H7</f>
        <v>120.23337033725029</v>
      </c>
      <c r="J7" s="55">
        <v>70000</v>
      </c>
      <c r="K7" s="53"/>
    </row>
    <row r="8" spans="1:12" s="1" customFormat="1" ht="15.75" x14ac:dyDescent="0.15">
      <c r="A8" s="8" t="s">
        <v>20</v>
      </c>
      <c r="B8" s="9" t="s">
        <v>21</v>
      </c>
      <c r="C8" s="184" t="s">
        <v>22</v>
      </c>
      <c r="D8" s="184"/>
      <c r="E8" s="184"/>
      <c r="F8" s="184"/>
      <c r="G8" s="10">
        <f>(2.1^2-1.06^2*0.85)*0.7854*1.52/10*1.015*3</f>
        <v>1.2559209110078402</v>
      </c>
      <c r="H8" s="64">
        <f>6+0.3</f>
        <v>6.3</v>
      </c>
      <c r="I8" s="11">
        <f>G8*H8</f>
        <v>7.9123017393493926</v>
      </c>
      <c r="J8" s="53"/>
      <c r="K8" s="53"/>
    </row>
    <row r="9" spans="1:12" s="1" customFormat="1" ht="15.75" x14ac:dyDescent="0.2">
      <c r="A9" s="8">
        <v>5</v>
      </c>
      <c r="B9" s="9" t="s">
        <v>23</v>
      </c>
      <c r="C9" s="184" t="s">
        <v>24</v>
      </c>
      <c r="D9" s="184"/>
      <c r="E9" s="184"/>
      <c r="F9" s="184"/>
      <c r="G9" s="10">
        <f>(5.85^2-2.1^2*3)*0.7854*1.47/10</f>
        <v>2.4236638964999999</v>
      </c>
      <c r="H9" s="64">
        <f>8.93+0.3</f>
        <v>9.23</v>
      </c>
      <c r="I9" s="11">
        <f>G9*H9</f>
        <v>22.370417764694999</v>
      </c>
    </row>
    <row r="10" spans="1:12" s="1" customFormat="1" ht="15.75" x14ac:dyDescent="0.15">
      <c r="A10" s="12" t="s">
        <v>25</v>
      </c>
      <c r="B10" s="13">
        <f>I10/100</f>
        <v>1.5051608984129468</v>
      </c>
      <c r="C10" s="156" t="s">
        <v>26</v>
      </c>
      <c r="D10" s="156"/>
      <c r="E10" s="156"/>
      <c r="F10" s="156"/>
      <c r="G10" s="14">
        <f>SUM(G7:G9)/100</f>
        <v>5.5492525739047317E-2</v>
      </c>
      <c r="H10" s="15" t="s">
        <v>27</v>
      </c>
      <c r="I10" s="16">
        <f>SUM(I7:I9)</f>
        <v>150.51608984129467</v>
      </c>
      <c r="J10" s="56">
        <f>B10*1.13/I21</f>
        <v>0.82393020608224465</v>
      </c>
      <c r="K10" s="57">
        <f>G10*G19</f>
        <v>1109.8505147809462</v>
      </c>
    </row>
    <row r="11" spans="1:12" s="1" customFormat="1" ht="36" x14ac:dyDescent="0.2">
      <c r="A11" s="17" t="s">
        <v>10</v>
      </c>
      <c r="B11" s="18" t="s">
        <v>28</v>
      </c>
      <c r="C11" s="17" t="s">
        <v>29</v>
      </c>
      <c r="D11" s="17" t="s">
        <v>30</v>
      </c>
      <c r="E11" s="17" t="s">
        <v>31</v>
      </c>
      <c r="F11" s="18" t="s">
        <v>32</v>
      </c>
      <c r="G11" s="18" t="s">
        <v>33</v>
      </c>
      <c r="H11" s="19" t="s">
        <v>34</v>
      </c>
      <c r="I11" s="17" t="s">
        <v>35</v>
      </c>
    </row>
    <row r="12" spans="1:12" s="1" customFormat="1" ht="15.75" x14ac:dyDescent="0.2">
      <c r="A12" s="9" t="s">
        <v>19</v>
      </c>
      <c r="B12" s="20">
        <f>0.185*3</f>
        <v>0.55499999999999994</v>
      </c>
      <c r="C12" s="20">
        <v>0</v>
      </c>
      <c r="D12" s="21">
        <v>10</v>
      </c>
      <c r="E12" s="21">
        <f>B12*D12*G19/1000+C12*D12*G17</f>
        <v>110.99999999999999</v>
      </c>
      <c r="F12" s="22">
        <v>0.5</v>
      </c>
      <c r="G12" s="23">
        <v>0</v>
      </c>
      <c r="H12" s="24">
        <f>F12*I7</f>
        <v>60.116685168625146</v>
      </c>
      <c r="I12" s="25">
        <f>E12+H12*G17</f>
        <v>171.11668516862514</v>
      </c>
    </row>
    <row r="13" spans="1:12" s="1" customFormat="1" ht="15.75" x14ac:dyDescent="0.2">
      <c r="A13" s="9" t="s">
        <v>21</v>
      </c>
      <c r="B13" s="26">
        <f>1000/60/270*3</f>
        <v>0.1851851851851852</v>
      </c>
      <c r="C13" s="20">
        <v>0</v>
      </c>
      <c r="D13" s="21">
        <v>120</v>
      </c>
      <c r="E13" s="21">
        <f>B13*D13*G19/1000+C13*D13*G17</f>
        <v>444.44444444444451</v>
      </c>
      <c r="F13" s="22">
        <v>1</v>
      </c>
      <c r="G13" s="27">
        <v>2</v>
      </c>
      <c r="H13" s="24">
        <f>F13*(I8+I7)+G13*H8</f>
        <v>140.74567207659967</v>
      </c>
      <c r="I13" s="25">
        <f>E13+H13*G17</f>
        <v>585.19011652104416</v>
      </c>
    </row>
    <row r="14" spans="1:12" s="1" customFormat="1" ht="15.75" x14ac:dyDescent="0.2">
      <c r="A14" s="9" t="s">
        <v>36</v>
      </c>
      <c r="B14" s="26">
        <f>1000/60/30</f>
        <v>0.55555555555555558</v>
      </c>
      <c r="C14" s="20">
        <v>0</v>
      </c>
      <c r="D14" s="21">
        <v>40</v>
      </c>
      <c r="E14" s="21">
        <f>B14*D14*G19/1000+C14*D14*G17</f>
        <v>444.44444444444446</v>
      </c>
      <c r="F14" s="22">
        <v>0.1</v>
      </c>
      <c r="G14" s="27">
        <v>0</v>
      </c>
      <c r="H14" s="24">
        <f>F14*(I8+I7)</f>
        <v>12.814567207659969</v>
      </c>
      <c r="I14" s="25">
        <f>E14+H14*G17</f>
        <v>457.25901165210445</v>
      </c>
    </row>
    <row r="15" spans="1:12" s="1" customFormat="1" ht="15.75" x14ac:dyDescent="0.2">
      <c r="A15" s="9" t="s">
        <v>23</v>
      </c>
      <c r="B15" s="26">
        <f>1000/60/40</f>
        <v>0.41666666666666669</v>
      </c>
      <c r="C15" s="20">
        <v>0</v>
      </c>
      <c r="D15" s="21">
        <v>140</v>
      </c>
      <c r="E15" s="21">
        <f>B15*D15*G19/1000+C15*D15*G17</f>
        <v>1166.6666666666667</v>
      </c>
      <c r="F15" s="22">
        <v>2</v>
      </c>
      <c r="G15" s="27">
        <v>5</v>
      </c>
      <c r="H15" s="24">
        <f>F15*I10+G15*H9</f>
        <v>347.18217968258932</v>
      </c>
      <c r="I15" s="25">
        <f>E15+H15*G17</f>
        <v>1513.8488463492561</v>
      </c>
    </row>
    <row r="16" spans="1:12" s="1" customFormat="1" ht="24" x14ac:dyDescent="0.2">
      <c r="A16" s="157" t="s">
        <v>37</v>
      </c>
      <c r="B16" s="158"/>
      <c r="C16" s="28" t="s">
        <v>38</v>
      </c>
      <c r="D16" s="28" t="s">
        <v>39</v>
      </c>
      <c r="E16" s="28" t="s">
        <v>40</v>
      </c>
      <c r="F16" s="29" t="s">
        <v>41</v>
      </c>
      <c r="G16" s="30" t="s">
        <v>42</v>
      </c>
      <c r="H16" s="31" t="s">
        <v>43</v>
      </c>
      <c r="I16" s="32">
        <f>SUM(I12:I15)</f>
        <v>2727.4146596910296</v>
      </c>
    </row>
    <row r="17" spans="1:11" s="1" customFormat="1" ht="15" x14ac:dyDescent="0.2">
      <c r="A17" s="159"/>
      <c r="B17" s="160"/>
      <c r="C17" s="33">
        <v>0</v>
      </c>
      <c r="D17" s="58">
        <v>0.85</v>
      </c>
      <c r="E17" s="33">
        <v>1.2999999999999999E-3</v>
      </c>
      <c r="F17" s="34">
        <v>1.2999999999999999E-2</v>
      </c>
      <c r="G17" s="35">
        <v>1</v>
      </c>
      <c r="H17" s="163" t="s">
        <v>44</v>
      </c>
      <c r="I17" s="143" t="s">
        <v>45</v>
      </c>
    </row>
    <row r="18" spans="1:11" s="1" customFormat="1" ht="24" x14ac:dyDescent="0.2">
      <c r="A18" s="159"/>
      <c r="B18" s="160"/>
      <c r="C18" s="30" t="s">
        <v>37</v>
      </c>
      <c r="D18" s="36" t="s">
        <v>46</v>
      </c>
      <c r="E18" s="28" t="s">
        <v>47</v>
      </c>
      <c r="F18" s="31" t="s">
        <v>48</v>
      </c>
      <c r="G18" s="37" t="s">
        <v>49</v>
      </c>
      <c r="H18" s="163"/>
      <c r="I18" s="144"/>
    </row>
    <row r="19" spans="1:11" s="1" customFormat="1" ht="18.75" x14ac:dyDescent="0.2">
      <c r="A19" s="159"/>
      <c r="B19" s="160"/>
      <c r="C19" s="76">
        <f>200/50000*G19</f>
        <v>80</v>
      </c>
      <c r="D19" s="77">
        <v>0.05</v>
      </c>
      <c r="E19" s="38">
        <v>0</v>
      </c>
      <c r="F19" s="59">
        <v>0.13</v>
      </c>
      <c r="G19" s="75">
        <v>20000</v>
      </c>
      <c r="H19" s="39">
        <f>I16/G19+B10+B10*F17</f>
        <v>1.6610987230768666</v>
      </c>
      <c r="I19" s="65">
        <f>(H19/(1-D19)+C17+E17+E19/G19+C19/G19+C21*D21+D17*G10)*(1+F19)*(1+E21+F21)</f>
        <v>2.0493686484706317</v>
      </c>
    </row>
    <row r="20" spans="1:11" s="1" customFormat="1" x14ac:dyDescent="0.2">
      <c r="A20" s="159"/>
      <c r="B20" s="160"/>
      <c r="C20" s="29" t="s">
        <v>50</v>
      </c>
      <c r="D20" s="29" t="s">
        <v>51</v>
      </c>
      <c r="E20" s="60" t="s">
        <v>52</v>
      </c>
      <c r="F20" s="60" t="s">
        <v>53</v>
      </c>
      <c r="G20" s="60" t="s">
        <v>54</v>
      </c>
      <c r="H20" s="40" t="s">
        <v>55</v>
      </c>
      <c r="I20" s="66" t="s">
        <v>56</v>
      </c>
    </row>
    <row r="21" spans="1:11" s="1" customFormat="1" ht="18.75" x14ac:dyDescent="0.2">
      <c r="A21" s="161"/>
      <c r="B21" s="162"/>
      <c r="C21" s="41">
        <v>0</v>
      </c>
      <c r="D21" s="42">
        <v>0</v>
      </c>
      <c r="E21" s="61">
        <v>7.0000000000000001E-3</v>
      </c>
      <c r="F21" s="61">
        <v>0</v>
      </c>
      <c r="G21" s="62">
        <v>0.15</v>
      </c>
      <c r="H21" s="39">
        <f>(H19+C17+E17+E19/G19+C19/G19+C21*D21+D17*G10)*(1+F19)*(1+E21+F21)</f>
        <v>1.9498854459455583</v>
      </c>
      <c r="I21" s="65">
        <f>I19+(I19-H21)*G21</f>
        <v>2.0642911288493928</v>
      </c>
    </row>
    <row r="22" spans="1:11" s="85" customFormat="1" ht="25.5" x14ac:dyDescent="0.2">
      <c r="A22" s="164" t="s">
        <v>0</v>
      </c>
      <c r="B22" s="164"/>
      <c r="C22" s="164"/>
      <c r="D22" s="164"/>
      <c r="E22" s="164"/>
      <c r="F22" s="164"/>
      <c r="G22" s="164"/>
      <c r="H22" s="164"/>
      <c r="I22" s="164"/>
    </row>
    <row r="23" spans="1:11" s="85" customFormat="1" ht="25.5" x14ac:dyDescent="0.15">
      <c r="A23" s="86"/>
      <c r="B23" s="86"/>
      <c r="C23" s="86"/>
      <c r="D23" s="86"/>
      <c r="F23" s="87"/>
      <c r="G23" s="87"/>
      <c r="H23" s="87" t="s">
        <v>1</v>
      </c>
      <c r="I23" s="88" t="s">
        <v>109</v>
      </c>
    </row>
    <row r="24" spans="1:11" s="85" customFormat="1" x14ac:dyDescent="0.2">
      <c r="A24" s="89" t="s">
        <v>3</v>
      </c>
      <c r="B24" s="165"/>
      <c r="C24" s="165"/>
      <c r="D24" s="165"/>
      <c r="E24" s="165"/>
      <c r="F24" s="165"/>
      <c r="G24" s="90" t="s">
        <v>4</v>
      </c>
      <c r="H24" s="166">
        <v>45236</v>
      </c>
      <c r="I24" s="166"/>
      <c r="J24" s="107" t="s">
        <v>114</v>
      </c>
    </row>
    <row r="25" spans="1:11" s="85" customFormat="1" x14ac:dyDescent="0.2">
      <c r="A25" s="89" t="s">
        <v>5</v>
      </c>
      <c r="B25" s="167" t="s">
        <v>110</v>
      </c>
      <c r="C25" s="168"/>
      <c r="D25" s="168"/>
      <c r="E25" s="168"/>
      <c r="F25" s="169"/>
      <c r="G25" s="90" t="s">
        <v>7</v>
      </c>
      <c r="H25" s="186" t="s">
        <v>57</v>
      </c>
      <c r="I25" s="186"/>
    </row>
    <row r="26" spans="1:11" s="85" customFormat="1" x14ac:dyDescent="0.2">
      <c r="A26" s="187" t="s">
        <v>9</v>
      </c>
      <c r="B26" s="188" t="s">
        <v>10</v>
      </c>
      <c r="C26" s="193" t="s">
        <v>11</v>
      </c>
      <c r="D26" s="193"/>
      <c r="E26" s="193"/>
      <c r="F26" s="193"/>
      <c r="G26" s="89" t="s">
        <v>12</v>
      </c>
      <c r="H26" s="89" t="s">
        <v>13</v>
      </c>
      <c r="I26" s="89" t="s">
        <v>14</v>
      </c>
    </row>
    <row r="27" spans="1:11" s="85" customFormat="1" ht="15.75" x14ac:dyDescent="0.2">
      <c r="A27" s="187"/>
      <c r="B27" s="187"/>
      <c r="C27" s="193"/>
      <c r="D27" s="193"/>
      <c r="E27" s="193"/>
      <c r="F27" s="193"/>
      <c r="G27" s="89" t="s">
        <v>15</v>
      </c>
      <c r="H27" s="91" t="s">
        <v>16</v>
      </c>
      <c r="I27" s="91" t="s">
        <v>17</v>
      </c>
    </row>
    <row r="28" spans="1:11" s="85" customFormat="1" ht="15.75" x14ac:dyDescent="0.2">
      <c r="A28" s="8" t="s">
        <v>18</v>
      </c>
      <c r="B28" s="9" t="s">
        <v>19</v>
      </c>
      <c r="C28" s="194" t="s">
        <v>110</v>
      </c>
      <c r="D28" s="194"/>
      <c r="E28" s="194"/>
      <c r="F28" s="194"/>
      <c r="G28" s="10">
        <f>0.143^2*0.7854*8.89/10*28*1.015^2*2</f>
        <v>0.82372992639381404</v>
      </c>
      <c r="H28" s="63">
        <f>(J28+1300)/1.13/1000+1.64</f>
        <v>64.737345132743371</v>
      </c>
      <c r="I28" s="92">
        <f>G28*H28</f>
        <v>53.326088541125635</v>
      </c>
      <c r="J28" s="85">
        <v>70000</v>
      </c>
    </row>
    <row r="29" spans="1:11" s="85" customFormat="1" ht="15.75" x14ac:dyDescent="0.2">
      <c r="A29" s="8" t="s">
        <v>20</v>
      </c>
      <c r="B29" s="9" t="s">
        <v>21</v>
      </c>
      <c r="C29" s="194" t="s">
        <v>111</v>
      </c>
      <c r="D29" s="194"/>
      <c r="E29" s="194"/>
      <c r="F29" s="194"/>
      <c r="G29" s="10">
        <f>(1.9^2-0.88^2*0.85)*0.7854*1.52/10*2*1.015</f>
        <v>0.71533844452223994</v>
      </c>
      <c r="H29" s="64">
        <f>6+0.3</f>
        <v>6.3</v>
      </c>
      <c r="I29" s="92">
        <f>G29*H29</f>
        <v>4.5066322004901114</v>
      </c>
    </row>
    <row r="30" spans="1:11" s="85" customFormat="1" ht="15.75" x14ac:dyDescent="0.2">
      <c r="A30" s="8">
        <v>3</v>
      </c>
      <c r="B30" s="9" t="s">
        <v>23</v>
      </c>
      <c r="C30" s="194" t="s">
        <v>112</v>
      </c>
      <c r="D30" s="194"/>
      <c r="E30" s="194"/>
      <c r="F30" s="194"/>
      <c r="G30" s="10">
        <f>(5.05^2-1.9^2*2)*0.7854*1.47/10</f>
        <v>2.1107840984999999</v>
      </c>
      <c r="H30" s="64">
        <f>7.59+0.5</f>
        <v>8.09</v>
      </c>
      <c r="I30" s="92">
        <f>G30*H30</f>
        <v>17.076243356865</v>
      </c>
      <c r="J30" s="85" t="s">
        <v>113</v>
      </c>
    </row>
    <row r="31" spans="1:11" s="85" customFormat="1" ht="15.75" x14ac:dyDescent="0.15">
      <c r="A31" s="93" t="s">
        <v>25</v>
      </c>
      <c r="B31" s="94">
        <f>I31/100</f>
        <v>0.74908964098480735</v>
      </c>
      <c r="C31" s="197" t="s">
        <v>26</v>
      </c>
      <c r="D31" s="197"/>
      <c r="E31" s="197"/>
      <c r="F31" s="197"/>
      <c r="G31" s="95">
        <f>SUM(G28:G30)/100</f>
        <v>3.6498524694160539E-2</v>
      </c>
      <c r="H31" s="96" t="s">
        <v>27</v>
      </c>
      <c r="I31" s="97">
        <f>SUM(I28:I30)</f>
        <v>74.908964098480737</v>
      </c>
      <c r="J31" s="56">
        <f>B31*1.13/I42</f>
        <v>0.77185818072688972</v>
      </c>
      <c r="K31" s="57">
        <f>G31*G40</f>
        <v>729.97049388321079</v>
      </c>
    </row>
    <row r="32" spans="1:11" s="85" customFormat="1" ht="36" x14ac:dyDescent="0.2">
      <c r="A32" s="17" t="s">
        <v>10</v>
      </c>
      <c r="B32" s="18" t="s">
        <v>28</v>
      </c>
      <c r="C32" s="17" t="s">
        <v>29</v>
      </c>
      <c r="D32" s="17" t="s">
        <v>30</v>
      </c>
      <c r="E32" s="17" t="s">
        <v>31</v>
      </c>
      <c r="F32" s="18" t="s">
        <v>32</v>
      </c>
      <c r="G32" s="18" t="s">
        <v>33</v>
      </c>
      <c r="H32" s="19" t="s">
        <v>34</v>
      </c>
      <c r="I32" s="17" t="s">
        <v>35</v>
      </c>
    </row>
    <row r="33" spans="1:9" s="85" customFormat="1" ht="15.75" x14ac:dyDescent="0.2">
      <c r="A33" s="9" t="s">
        <v>19</v>
      </c>
      <c r="B33" s="68">
        <f>0.24*2</f>
        <v>0.48</v>
      </c>
      <c r="C33" s="20">
        <v>0</v>
      </c>
      <c r="D33" s="21">
        <v>10</v>
      </c>
      <c r="E33" s="21">
        <f>B33*D33*G40/1000+C33*D33*G38</f>
        <v>96</v>
      </c>
      <c r="F33" s="70">
        <v>0.1</v>
      </c>
      <c r="G33" s="98">
        <v>0</v>
      </c>
      <c r="H33" s="99">
        <f>F33*I28</f>
        <v>5.3326088541125642</v>
      </c>
      <c r="I33" s="21">
        <f>E33+H33*G38</f>
        <v>101.33260885411256</v>
      </c>
    </row>
    <row r="34" spans="1:9" s="85" customFormat="1" ht="15.75" x14ac:dyDescent="0.2">
      <c r="A34" s="9" t="s">
        <v>21</v>
      </c>
      <c r="B34" s="26">
        <f>1000/60/220*2</f>
        <v>0.15151515151515152</v>
      </c>
      <c r="C34" s="20">
        <v>0</v>
      </c>
      <c r="D34" s="21">
        <v>120</v>
      </c>
      <c r="E34" s="21">
        <f>B34*D34*G40/1000+C34*D34*G38</f>
        <v>363.63636363636363</v>
      </c>
      <c r="F34" s="70">
        <v>0.5</v>
      </c>
      <c r="G34" s="72">
        <v>2</v>
      </c>
      <c r="H34" s="99">
        <f>F34*(I29+I28)+G34*H29</f>
        <v>41.516360370807874</v>
      </c>
      <c r="I34" s="21">
        <f>E34+H34*G38</f>
        <v>405.15272400717151</v>
      </c>
    </row>
    <row r="35" spans="1:9" s="85" customFormat="1" ht="15.75" x14ac:dyDescent="0.2">
      <c r="A35" s="9" t="s">
        <v>36</v>
      </c>
      <c r="B35" s="26">
        <f>1000/60/40</f>
        <v>0.41666666666666669</v>
      </c>
      <c r="C35" s="20">
        <v>0</v>
      </c>
      <c r="D35" s="21">
        <v>40</v>
      </c>
      <c r="E35" s="21">
        <f>B35*D35*G40/1000+C35*D35*G38</f>
        <v>333.33333333333337</v>
      </c>
      <c r="F35" s="70">
        <v>0.1</v>
      </c>
      <c r="G35" s="72">
        <v>0</v>
      </c>
      <c r="H35" s="99">
        <f>F35*(I29+I28)</f>
        <v>5.7832720741615748</v>
      </c>
      <c r="I35" s="21">
        <f>E35+H35*G38</f>
        <v>339.11660540749494</v>
      </c>
    </row>
    <row r="36" spans="1:9" s="85" customFormat="1" ht="15.75" x14ac:dyDescent="0.2">
      <c r="A36" s="9" t="s">
        <v>23</v>
      </c>
      <c r="B36" s="26">
        <f>1000/60/50</f>
        <v>0.33333333333333337</v>
      </c>
      <c r="C36" s="20">
        <v>0</v>
      </c>
      <c r="D36" s="21">
        <v>140</v>
      </c>
      <c r="E36" s="21">
        <f>B36*D36*G40/1000+C36*D36*G38</f>
        <v>933.33333333333337</v>
      </c>
      <c r="F36" s="70">
        <v>2</v>
      </c>
      <c r="G36" s="72">
        <v>5</v>
      </c>
      <c r="H36" s="99">
        <f>F36*I31+G36*H30</f>
        <v>190.26792819696146</v>
      </c>
      <c r="I36" s="21">
        <f>E36+H36*G38</f>
        <v>1123.6012615302948</v>
      </c>
    </row>
    <row r="37" spans="1:9" s="85" customFormat="1" ht="24" x14ac:dyDescent="0.2">
      <c r="A37" s="157" t="s">
        <v>37</v>
      </c>
      <c r="B37" s="158"/>
      <c r="C37" s="28" t="s">
        <v>38</v>
      </c>
      <c r="D37" s="28" t="s">
        <v>39</v>
      </c>
      <c r="E37" s="28" t="s">
        <v>40</v>
      </c>
      <c r="F37" s="100" t="s">
        <v>41</v>
      </c>
      <c r="G37" s="60" t="s">
        <v>42</v>
      </c>
      <c r="H37" s="101" t="s">
        <v>43</v>
      </c>
      <c r="I37" s="102">
        <f>SUM(I33:I36)</f>
        <v>1969.2031997990739</v>
      </c>
    </row>
    <row r="38" spans="1:9" s="85" customFormat="1" ht="15" x14ac:dyDescent="0.2">
      <c r="A38" s="159"/>
      <c r="B38" s="160"/>
      <c r="C38" s="33">
        <v>0</v>
      </c>
      <c r="D38" s="58">
        <v>0.85</v>
      </c>
      <c r="E38" s="33">
        <v>6.7000000000000002E-3</v>
      </c>
      <c r="F38" s="73">
        <v>2.5000000000000001E-2</v>
      </c>
      <c r="G38" s="104">
        <v>1</v>
      </c>
      <c r="H38" s="163" t="s">
        <v>44</v>
      </c>
      <c r="I38" s="195" t="s">
        <v>45</v>
      </c>
    </row>
    <row r="39" spans="1:9" s="85" customFormat="1" ht="24" x14ac:dyDescent="0.2">
      <c r="A39" s="159"/>
      <c r="B39" s="160"/>
      <c r="C39" s="30" t="s">
        <v>37</v>
      </c>
      <c r="D39" s="36" t="s">
        <v>46</v>
      </c>
      <c r="E39" s="28" t="s">
        <v>47</v>
      </c>
      <c r="F39" s="31" t="s">
        <v>48</v>
      </c>
      <c r="G39" s="37" t="s">
        <v>49</v>
      </c>
      <c r="H39" s="163"/>
      <c r="I39" s="196"/>
    </row>
    <row r="40" spans="1:9" s="85" customFormat="1" ht="18.75" x14ac:dyDescent="0.2">
      <c r="A40" s="159"/>
      <c r="B40" s="160"/>
      <c r="C40" s="76">
        <f>200/50000*G40</f>
        <v>80</v>
      </c>
      <c r="D40" s="77">
        <v>5.2999999999999999E-2</v>
      </c>
      <c r="E40" s="38">
        <v>0</v>
      </c>
      <c r="F40" s="59">
        <v>0.13</v>
      </c>
      <c r="G40" s="75">
        <v>20000</v>
      </c>
      <c r="H40" s="39">
        <f>I37/G40+B31+B31*F38</f>
        <v>0.86627704199938127</v>
      </c>
      <c r="I40" s="65">
        <f>(H40/(1-D40)+C38+E38+E40/G40+C40/G40+C42*D42+D38*G31)*(1+F40)*(1+E42+F42)</f>
        <v>1.0883916047177018</v>
      </c>
    </row>
    <row r="41" spans="1:9" s="85" customFormat="1" x14ac:dyDescent="0.2">
      <c r="A41" s="159"/>
      <c r="B41" s="160"/>
      <c r="C41" s="100" t="s">
        <v>50</v>
      </c>
      <c r="D41" s="100" t="s">
        <v>51</v>
      </c>
      <c r="E41" s="60" t="s">
        <v>52</v>
      </c>
      <c r="F41" s="60" t="s">
        <v>53</v>
      </c>
      <c r="G41" s="60" t="s">
        <v>54</v>
      </c>
      <c r="H41" s="105" t="s">
        <v>55</v>
      </c>
      <c r="I41" s="66" t="s">
        <v>56</v>
      </c>
    </row>
    <row r="42" spans="1:9" s="85" customFormat="1" ht="18.75" x14ac:dyDescent="0.2">
      <c r="A42" s="161"/>
      <c r="B42" s="162"/>
      <c r="C42" s="106">
        <v>0</v>
      </c>
      <c r="D42" s="74">
        <v>0</v>
      </c>
      <c r="E42" s="61">
        <v>7.0000000000000001E-3</v>
      </c>
      <c r="F42" s="61">
        <v>0</v>
      </c>
      <c r="G42" s="62">
        <v>0.15</v>
      </c>
      <c r="H42" s="39">
        <f>(H40+C38+E38+E40/G40+C40/G40+C42*D42+D38*G31)*(1+F40)*(1+E42+F42)</f>
        <v>1.0332231766610382</v>
      </c>
      <c r="I42" s="65">
        <f>I40+(I40-H42)*G42</f>
        <v>1.0966668689262014</v>
      </c>
    </row>
    <row r="43" spans="1:9" ht="25.5" x14ac:dyDescent="0.2">
      <c r="A43" s="172" t="s">
        <v>0</v>
      </c>
      <c r="B43" s="172"/>
      <c r="C43" s="172"/>
      <c r="D43" s="172"/>
      <c r="E43" s="172"/>
      <c r="F43" s="172"/>
      <c r="G43" s="172"/>
      <c r="H43" s="172"/>
      <c r="I43" s="172"/>
    </row>
    <row r="44" spans="1:9" ht="25.5" x14ac:dyDescent="0.2">
      <c r="A44" s="2"/>
      <c r="B44" s="2"/>
      <c r="C44" s="2"/>
      <c r="D44" s="2"/>
      <c r="E44" s="43"/>
      <c r="F44" s="3"/>
      <c r="G44" s="44"/>
      <c r="H44" s="3" t="s">
        <v>1</v>
      </c>
      <c r="I44" s="45" t="s">
        <v>58</v>
      </c>
    </row>
    <row r="45" spans="1:9" x14ac:dyDescent="0.2">
      <c r="A45" s="6" t="s">
        <v>3</v>
      </c>
      <c r="B45" s="152"/>
      <c r="C45" s="152"/>
      <c r="D45" s="152"/>
      <c r="E45" s="152"/>
      <c r="F45" s="152"/>
      <c r="G45" s="6" t="s">
        <v>4</v>
      </c>
      <c r="H45" s="185">
        <v>45133</v>
      </c>
      <c r="I45" s="185"/>
    </row>
    <row r="46" spans="1:9" x14ac:dyDescent="0.2">
      <c r="A46" s="6" t="s">
        <v>5</v>
      </c>
      <c r="B46" s="145" t="s">
        <v>59</v>
      </c>
      <c r="C46" s="146"/>
      <c r="D46" s="146"/>
      <c r="E46" s="146"/>
      <c r="F46" s="147"/>
      <c r="G46" s="6" t="s">
        <v>7</v>
      </c>
      <c r="H46" s="148" t="s">
        <v>60</v>
      </c>
      <c r="I46" s="149"/>
    </row>
    <row r="47" spans="1:9" x14ac:dyDescent="0.2">
      <c r="A47" s="150" t="s">
        <v>9</v>
      </c>
      <c r="B47" s="151" t="s">
        <v>10</v>
      </c>
      <c r="C47" s="152" t="s">
        <v>11</v>
      </c>
      <c r="D47" s="152"/>
      <c r="E47" s="152"/>
      <c r="F47" s="152"/>
      <c r="G47" s="6" t="s">
        <v>12</v>
      </c>
      <c r="H47" s="6" t="s">
        <v>13</v>
      </c>
      <c r="I47" s="6" t="s">
        <v>14</v>
      </c>
    </row>
    <row r="48" spans="1:9" ht="15.75" x14ac:dyDescent="0.2">
      <c r="A48" s="150"/>
      <c r="B48" s="150"/>
      <c r="C48" s="152"/>
      <c r="D48" s="152"/>
      <c r="E48" s="152"/>
      <c r="F48" s="152"/>
      <c r="G48" s="6" t="s">
        <v>15</v>
      </c>
      <c r="H48" s="7" t="s">
        <v>16</v>
      </c>
      <c r="I48" s="7" t="s">
        <v>17</v>
      </c>
    </row>
    <row r="49" spans="1:12" ht="15.75" x14ac:dyDescent="0.2">
      <c r="A49" s="46">
        <v>1</v>
      </c>
      <c r="B49" s="47" t="s">
        <v>19</v>
      </c>
      <c r="C49" s="153" t="s">
        <v>61</v>
      </c>
      <c r="D49" s="154"/>
      <c r="E49" s="154"/>
      <c r="F49" s="155"/>
      <c r="G49" s="48">
        <f>0.158^2*26*0.7854*8.89/10*2*1.015*1.015</f>
        <v>0.93377503780288718</v>
      </c>
      <c r="H49" s="63">
        <f>(J49+1300)/1.13/1000+4.49</f>
        <v>67.587345132743366</v>
      </c>
      <c r="I49" s="11">
        <f>G49*H49</f>
        <v>63.111375756324222</v>
      </c>
      <c r="J49" s="55">
        <v>70000</v>
      </c>
      <c r="K49" s="53"/>
      <c r="L49" s="49"/>
    </row>
    <row r="50" spans="1:12" ht="15.75" x14ac:dyDescent="0.2">
      <c r="A50" s="46">
        <v>2</v>
      </c>
      <c r="B50" s="47" t="s">
        <v>21</v>
      </c>
      <c r="C50" s="153" t="s">
        <v>62</v>
      </c>
      <c r="D50" s="154"/>
      <c r="E50" s="154"/>
      <c r="F50" s="155"/>
      <c r="G50" s="48">
        <f>(2^2-0.92^2*0.85)*0.7854*1.47/10*2*1.015</f>
        <v>0.76886882979983995</v>
      </c>
      <c r="H50" s="64">
        <f>7.59+0.3</f>
        <v>7.89</v>
      </c>
      <c r="I50" s="11">
        <f>G50*H50</f>
        <v>6.0663750671207373</v>
      </c>
      <c r="J50" s="53"/>
      <c r="K50" s="53"/>
    </row>
    <row r="51" spans="1:12" ht="15.75" x14ac:dyDescent="0.2">
      <c r="A51" s="46">
        <v>3</v>
      </c>
      <c r="B51" s="47" t="s">
        <v>23</v>
      </c>
      <c r="C51" s="153" t="s">
        <v>63</v>
      </c>
      <c r="D51" s="154"/>
      <c r="E51" s="154"/>
      <c r="F51" s="155"/>
      <c r="G51" s="48">
        <f>(5.65^2-2^2*2)*0.7854*1.47/10</f>
        <v>2.7619435305</v>
      </c>
      <c r="H51" s="64">
        <f>8.93+0.3</f>
        <v>9.23</v>
      </c>
      <c r="I51" s="50">
        <f>G51*H51</f>
        <v>25.492738786515002</v>
      </c>
      <c r="J51" s="1"/>
      <c r="K51" s="1"/>
    </row>
    <row r="52" spans="1:12" ht="15.75" x14ac:dyDescent="0.2">
      <c r="A52" s="12" t="s">
        <v>25</v>
      </c>
      <c r="B52" s="13">
        <f>I52/100</f>
        <v>0.94670489609959962</v>
      </c>
      <c r="C52" s="156" t="s">
        <v>26</v>
      </c>
      <c r="D52" s="156"/>
      <c r="E52" s="156"/>
      <c r="F52" s="156"/>
      <c r="G52" s="14">
        <f>SUM(G49:G51)/100</f>
        <v>4.4645873981027276E-2</v>
      </c>
      <c r="H52" s="15" t="s">
        <v>27</v>
      </c>
      <c r="I52" s="16">
        <f>SUM(I49:I51)</f>
        <v>94.670489609959958</v>
      </c>
      <c r="J52" s="56">
        <f>B52*1.13/I63</f>
        <v>0.78957495477691786</v>
      </c>
      <c r="K52" s="57">
        <f>G52*G61</f>
        <v>892.91747962054546</v>
      </c>
    </row>
    <row r="53" spans="1:12" ht="36" x14ac:dyDescent="0.2">
      <c r="A53" s="17" t="s">
        <v>10</v>
      </c>
      <c r="B53" s="18" t="s">
        <v>28</v>
      </c>
      <c r="C53" s="17" t="s">
        <v>29</v>
      </c>
      <c r="D53" s="17" t="s">
        <v>30</v>
      </c>
      <c r="E53" s="17" t="s">
        <v>31</v>
      </c>
      <c r="F53" s="18" t="s">
        <v>32</v>
      </c>
      <c r="G53" s="18" t="s">
        <v>33</v>
      </c>
      <c r="H53" s="19" t="s">
        <v>34</v>
      </c>
      <c r="I53" s="17" t="s">
        <v>35</v>
      </c>
    </row>
    <row r="54" spans="1:12" ht="15.75" x14ac:dyDescent="0.2">
      <c r="A54" s="47" t="s">
        <v>19</v>
      </c>
      <c r="B54" s="20">
        <f>0.24*2</f>
        <v>0.48</v>
      </c>
      <c r="C54" s="20">
        <v>0</v>
      </c>
      <c r="D54" s="21">
        <v>10</v>
      </c>
      <c r="E54" s="21">
        <f>B54*D54*G61/1000+C54*D54*G59</f>
        <v>96</v>
      </c>
      <c r="F54" s="22">
        <v>0.5</v>
      </c>
      <c r="G54" s="51">
        <v>0</v>
      </c>
      <c r="H54" s="24">
        <f>F54*I49</f>
        <v>31.555687878162111</v>
      </c>
      <c r="I54" s="25">
        <f>E54+H54*G59</f>
        <v>127.5556878781621</v>
      </c>
    </row>
    <row r="55" spans="1:12" ht="15.75" x14ac:dyDescent="0.2">
      <c r="A55" s="47" t="s">
        <v>21</v>
      </c>
      <c r="B55" s="26">
        <f>1000/60/180*2</f>
        <v>0.1851851851851852</v>
      </c>
      <c r="C55" s="20">
        <v>0</v>
      </c>
      <c r="D55" s="21">
        <v>120</v>
      </c>
      <c r="E55" s="21">
        <f>B55*D55*G61/1000+C55*D55*G59</f>
        <v>444.44444444444451</v>
      </c>
      <c r="F55" s="22">
        <v>0.5</v>
      </c>
      <c r="G55" s="51">
        <v>2</v>
      </c>
      <c r="H55" s="24">
        <f>F55*(I50+I49)+G55*H50</f>
        <v>50.368875411722478</v>
      </c>
      <c r="I55" s="25">
        <f>E55+H55*G59</f>
        <v>494.81331985616697</v>
      </c>
    </row>
    <row r="56" spans="1:12" ht="15.75" x14ac:dyDescent="0.2">
      <c r="A56" s="47" t="s">
        <v>36</v>
      </c>
      <c r="B56" s="26">
        <f>1000/60/40</f>
        <v>0.41666666666666669</v>
      </c>
      <c r="C56" s="20">
        <v>0</v>
      </c>
      <c r="D56" s="21">
        <v>40</v>
      </c>
      <c r="E56" s="21">
        <f>B56*D56*G61/1000+C56*D56*G59</f>
        <v>333.33333333333337</v>
      </c>
      <c r="F56" s="22">
        <v>0.1</v>
      </c>
      <c r="G56" s="51">
        <v>0</v>
      </c>
      <c r="H56" s="24">
        <f>F56*(I50+I49)</f>
        <v>6.9177750823444955</v>
      </c>
      <c r="I56" s="25">
        <f>E56+H56*G59</f>
        <v>340.25110841567789</v>
      </c>
    </row>
    <row r="57" spans="1:12" ht="15.75" x14ac:dyDescent="0.2">
      <c r="A57" s="47" t="s">
        <v>23</v>
      </c>
      <c r="B57" s="52">
        <f>1000/60/50</f>
        <v>0.33333333333333337</v>
      </c>
      <c r="C57" s="20">
        <v>0</v>
      </c>
      <c r="D57" s="21">
        <v>140</v>
      </c>
      <c r="E57" s="21">
        <f>B57*D57*G61/1000+C57*D57*G59</f>
        <v>933.33333333333337</v>
      </c>
      <c r="F57" s="22">
        <v>1</v>
      </c>
      <c r="G57" s="51">
        <v>10</v>
      </c>
      <c r="H57" s="24">
        <f>F57*I52+G57*H51</f>
        <v>186.97048960995997</v>
      </c>
      <c r="I57" s="25">
        <f>E57+H57*G59</f>
        <v>1120.3038229432934</v>
      </c>
    </row>
    <row r="58" spans="1:12" ht="24" x14ac:dyDescent="0.2">
      <c r="A58" s="157" t="s">
        <v>37</v>
      </c>
      <c r="B58" s="158"/>
      <c r="C58" s="28" t="s">
        <v>38</v>
      </c>
      <c r="D58" s="28" t="s">
        <v>39</v>
      </c>
      <c r="E58" s="28" t="s">
        <v>40</v>
      </c>
      <c r="F58" s="29" t="s">
        <v>41</v>
      </c>
      <c r="G58" s="30" t="s">
        <v>42</v>
      </c>
      <c r="H58" s="31" t="s">
        <v>43</v>
      </c>
      <c r="I58" s="32">
        <f>SUM(I54:I57)</f>
        <v>2082.9239390933003</v>
      </c>
    </row>
    <row r="59" spans="1:12" ht="15" x14ac:dyDescent="0.2">
      <c r="A59" s="159"/>
      <c r="B59" s="160"/>
      <c r="C59" s="58">
        <f>0.0074/3</f>
        <v>2.4666666666666669E-3</v>
      </c>
      <c r="D59" s="58">
        <v>0.85</v>
      </c>
      <c r="E59" s="33">
        <v>6.7000000000000002E-3</v>
      </c>
      <c r="F59" s="34">
        <v>2.5000000000000001E-2</v>
      </c>
      <c r="G59" s="35">
        <v>1</v>
      </c>
      <c r="H59" s="163" t="s">
        <v>44</v>
      </c>
      <c r="I59" s="143" t="s">
        <v>45</v>
      </c>
    </row>
    <row r="60" spans="1:12" ht="24" x14ac:dyDescent="0.2">
      <c r="A60" s="159"/>
      <c r="B60" s="160"/>
      <c r="C60" s="30" t="s">
        <v>37</v>
      </c>
      <c r="D60" s="36" t="s">
        <v>46</v>
      </c>
      <c r="E60" s="28" t="s">
        <v>47</v>
      </c>
      <c r="F60" s="31" t="s">
        <v>48</v>
      </c>
      <c r="G60" s="37" t="s">
        <v>49</v>
      </c>
      <c r="H60" s="163"/>
      <c r="I60" s="144"/>
    </row>
    <row r="61" spans="1:12" ht="18.75" x14ac:dyDescent="0.2">
      <c r="A61" s="159"/>
      <c r="B61" s="160"/>
      <c r="C61" s="76">
        <f>200/50000*G61</f>
        <v>80</v>
      </c>
      <c r="D61" s="77">
        <v>0.05</v>
      </c>
      <c r="E61" s="38">
        <v>0</v>
      </c>
      <c r="F61" s="59">
        <v>0.13</v>
      </c>
      <c r="G61" s="75">
        <v>20000</v>
      </c>
      <c r="H61" s="39">
        <f>I58/G61+B52+B52*F59</f>
        <v>1.0745187154567548</v>
      </c>
      <c r="I61" s="65">
        <f>(H61/(1-D61)+C59+E59+E61/G61+C61/G61+C63*D63+D59*G52)*(1+F61)*(1+E63+F63)</f>
        <v>1.3452235375332555</v>
      </c>
    </row>
    <row r="62" spans="1:12" x14ac:dyDescent="0.2">
      <c r="A62" s="159"/>
      <c r="B62" s="160"/>
      <c r="C62" s="29" t="s">
        <v>50</v>
      </c>
      <c r="D62" s="29" t="s">
        <v>51</v>
      </c>
      <c r="E62" s="60" t="s">
        <v>52</v>
      </c>
      <c r="F62" s="60" t="s">
        <v>53</v>
      </c>
      <c r="G62" s="60" t="s">
        <v>54</v>
      </c>
      <c r="H62" s="40" t="s">
        <v>55</v>
      </c>
      <c r="I62" s="66" t="s">
        <v>56</v>
      </c>
    </row>
    <row r="63" spans="1:12" ht="18.75" x14ac:dyDescent="0.2">
      <c r="A63" s="161"/>
      <c r="B63" s="162"/>
      <c r="C63" s="41">
        <v>0</v>
      </c>
      <c r="D63" s="42">
        <v>0</v>
      </c>
      <c r="E63" s="61">
        <v>7.0000000000000001E-3</v>
      </c>
      <c r="F63" s="61">
        <v>0</v>
      </c>
      <c r="G63" s="62">
        <v>0.15</v>
      </c>
      <c r="H63" s="39">
        <f>(H61+C59+E59+E61/G61+C61/G61+C63*D63+D59*G52)*(1+F61)*(1+E63+F63)</f>
        <v>1.2808706116645503</v>
      </c>
      <c r="I63" s="65">
        <f>I61+(I61-H63)*G63</f>
        <v>1.3548764764135612</v>
      </c>
    </row>
    <row r="64" spans="1:12" ht="25.5" x14ac:dyDescent="0.2">
      <c r="A64" s="171" t="s">
        <v>0</v>
      </c>
      <c r="B64" s="171"/>
      <c r="C64" s="171"/>
      <c r="D64" s="171"/>
      <c r="E64" s="171"/>
      <c r="F64" s="171"/>
      <c r="G64" s="171"/>
      <c r="H64" s="171"/>
      <c r="I64" s="171"/>
    </row>
    <row r="65" spans="1:11" ht="25.5" x14ac:dyDescent="0.2">
      <c r="A65" s="67"/>
      <c r="B65" s="67"/>
      <c r="C65" s="67"/>
      <c r="D65" s="67"/>
      <c r="E65" s="43"/>
      <c r="F65" s="3"/>
      <c r="G65" s="3"/>
      <c r="H65" s="3" t="s">
        <v>1</v>
      </c>
      <c r="I65" s="45" t="s">
        <v>66</v>
      </c>
    </row>
    <row r="66" spans="1:11" x14ac:dyDescent="0.2">
      <c r="A66" s="6" t="s">
        <v>3</v>
      </c>
      <c r="B66" s="179"/>
      <c r="C66" s="180"/>
      <c r="D66" s="180"/>
      <c r="E66" s="180"/>
      <c r="F66" s="181"/>
      <c r="G66" s="46" t="s">
        <v>4</v>
      </c>
      <c r="H66" s="182">
        <v>45133</v>
      </c>
      <c r="I66" s="183"/>
    </row>
    <row r="67" spans="1:11" x14ac:dyDescent="0.2">
      <c r="A67" s="6" t="s">
        <v>5</v>
      </c>
      <c r="B67" s="189" t="s">
        <v>67</v>
      </c>
      <c r="C67" s="190"/>
      <c r="D67" s="190"/>
      <c r="E67" s="190"/>
      <c r="F67" s="191"/>
      <c r="G67" s="6" t="s">
        <v>7</v>
      </c>
      <c r="H67" s="192" t="s">
        <v>68</v>
      </c>
      <c r="I67" s="192"/>
    </row>
    <row r="68" spans="1:11" x14ac:dyDescent="0.2">
      <c r="A68" s="150" t="s">
        <v>9</v>
      </c>
      <c r="B68" s="151" t="s">
        <v>10</v>
      </c>
      <c r="C68" s="152" t="s">
        <v>11</v>
      </c>
      <c r="D68" s="152"/>
      <c r="E68" s="152"/>
      <c r="F68" s="152"/>
      <c r="G68" s="6" t="s">
        <v>12</v>
      </c>
      <c r="H68" s="6" t="s">
        <v>13</v>
      </c>
      <c r="I68" s="6" t="s">
        <v>14</v>
      </c>
    </row>
    <row r="69" spans="1:11" ht="15.75" x14ac:dyDescent="0.2">
      <c r="A69" s="150"/>
      <c r="B69" s="150"/>
      <c r="C69" s="152"/>
      <c r="D69" s="152"/>
      <c r="E69" s="152"/>
      <c r="F69" s="152"/>
      <c r="G69" s="6" t="s">
        <v>15</v>
      </c>
      <c r="H69" s="7" t="s">
        <v>16</v>
      </c>
      <c r="I69" s="7" t="s">
        <v>17</v>
      </c>
    </row>
    <row r="70" spans="1:11" ht="15.75" x14ac:dyDescent="0.2">
      <c r="A70" s="46">
        <v>1</v>
      </c>
      <c r="B70" s="47" t="s">
        <v>19</v>
      </c>
      <c r="C70" s="153" t="s">
        <v>69</v>
      </c>
      <c r="D70" s="154"/>
      <c r="E70" s="154"/>
      <c r="F70" s="155"/>
      <c r="G70" s="48">
        <f>0.158^2*41*0.7854*8.89/10*3*1.015*1.015</f>
        <v>2.208737108649137</v>
      </c>
      <c r="H70" s="63">
        <f>(J70+1300)/1.13/1000+4.49</f>
        <v>67.587345132743366</v>
      </c>
      <c r="I70" s="11">
        <f>G70*H70</f>
        <v>149.28267726976691</v>
      </c>
      <c r="J70" s="55">
        <v>70000</v>
      </c>
      <c r="K70" s="53"/>
    </row>
    <row r="71" spans="1:11" ht="15.75" x14ac:dyDescent="0.2">
      <c r="A71" s="46">
        <v>2</v>
      </c>
      <c r="B71" s="47" t="s">
        <v>21</v>
      </c>
      <c r="C71" s="153" t="s">
        <v>70</v>
      </c>
      <c r="D71" s="154"/>
      <c r="E71" s="154"/>
      <c r="F71" s="155"/>
      <c r="G71" s="48">
        <f>(2.2^2-1.16^2*0.85)*0.7854*1.47/10*3*1.015</f>
        <v>1.2994383840530404</v>
      </c>
      <c r="H71" s="64">
        <f>7.59+0.3</f>
        <v>7.89</v>
      </c>
      <c r="I71" s="11">
        <f>G71*H71</f>
        <v>10.252568850178488</v>
      </c>
      <c r="J71" s="53"/>
      <c r="K71" s="53"/>
    </row>
    <row r="72" spans="1:11" ht="15.75" x14ac:dyDescent="0.2">
      <c r="A72" s="46">
        <v>3</v>
      </c>
      <c r="B72" s="46" t="s">
        <v>23</v>
      </c>
      <c r="C72" s="153" t="s">
        <v>71</v>
      </c>
      <c r="D72" s="154"/>
      <c r="E72" s="154"/>
      <c r="F72" s="155"/>
      <c r="G72" s="48">
        <f>(6.55^2-2.2^2*3)*0.7854*1.47/10</f>
        <v>3.2768674784999994</v>
      </c>
      <c r="H72" s="64">
        <f>8.93+0.3</f>
        <v>9.23</v>
      </c>
      <c r="I72" s="11">
        <f>G72*H72</f>
        <v>30.245486826554995</v>
      </c>
      <c r="J72" s="1"/>
      <c r="K72" s="1"/>
    </row>
    <row r="73" spans="1:11" ht="15.75" x14ac:dyDescent="0.2">
      <c r="A73" s="12" t="s">
        <v>25</v>
      </c>
      <c r="B73" s="13">
        <f>I73/100</f>
        <v>1.897807329465004</v>
      </c>
      <c r="C73" s="156" t="s">
        <v>26</v>
      </c>
      <c r="D73" s="156"/>
      <c r="E73" s="156"/>
      <c r="F73" s="156"/>
      <c r="G73" s="14">
        <f>SUM(G70:G72)/100</f>
        <v>6.7850429712021765E-2</v>
      </c>
      <c r="H73" s="15" t="s">
        <v>27</v>
      </c>
      <c r="I73" s="16">
        <f>SUM(I70:I72)</f>
        <v>189.78073294650039</v>
      </c>
      <c r="J73" s="56">
        <f>B73*1.13/I84</f>
        <v>0.81913116198265901</v>
      </c>
      <c r="K73" s="57">
        <f>G73*G82</f>
        <v>1357.0085942404353</v>
      </c>
    </row>
    <row r="74" spans="1:11" ht="36" x14ac:dyDescent="0.2">
      <c r="A74" s="17" t="s">
        <v>10</v>
      </c>
      <c r="B74" s="18" t="s">
        <v>28</v>
      </c>
      <c r="C74" s="17" t="s">
        <v>29</v>
      </c>
      <c r="D74" s="17" t="s">
        <v>30</v>
      </c>
      <c r="E74" s="17" t="s">
        <v>31</v>
      </c>
      <c r="F74" s="18" t="s">
        <v>32</v>
      </c>
      <c r="G74" s="18" t="s">
        <v>33</v>
      </c>
      <c r="H74" s="19" t="s">
        <v>34</v>
      </c>
      <c r="I74" s="17" t="s">
        <v>35</v>
      </c>
    </row>
    <row r="75" spans="1:11" ht="15.75" x14ac:dyDescent="0.2">
      <c r="A75" s="46" t="s">
        <v>19</v>
      </c>
      <c r="B75" s="68">
        <f>0.24*3</f>
        <v>0.72</v>
      </c>
      <c r="C75" s="20">
        <v>0</v>
      </c>
      <c r="D75" s="21">
        <v>10</v>
      </c>
      <c r="E75" s="69">
        <f>B75*D75*G82/1000+C75*D75*G80</f>
        <v>144</v>
      </c>
      <c r="F75" s="70">
        <v>1</v>
      </c>
      <c r="G75" s="71">
        <v>0</v>
      </c>
      <c r="H75" s="24">
        <f>F75*I70</f>
        <v>149.28267726976691</v>
      </c>
      <c r="I75" s="25">
        <f>E75+H75*G80</f>
        <v>293.28267726976691</v>
      </c>
    </row>
    <row r="76" spans="1:11" ht="15.75" x14ac:dyDescent="0.2">
      <c r="A76" s="46" t="s">
        <v>21</v>
      </c>
      <c r="B76" s="68">
        <f>1000/60/180*3</f>
        <v>0.27777777777777779</v>
      </c>
      <c r="C76" s="20">
        <v>0</v>
      </c>
      <c r="D76" s="21">
        <v>120</v>
      </c>
      <c r="E76" s="69">
        <f>B76*D76*G82/1000+C76*D76*G80</f>
        <v>666.66666666666674</v>
      </c>
      <c r="F76" s="70">
        <v>1.5</v>
      </c>
      <c r="G76" s="72">
        <v>2</v>
      </c>
      <c r="H76" s="24">
        <f>F76*(I71+I70)+G76*H71</f>
        <v>255.08286917991808</v>
      </c>
      <c r="I76" s="25">
        <f>E76+H76*G80</f>
        <v>921.74953584658488</v>
      </c>
    </row>
    <row r="77" spans="1:11" ht="15.75" x14ac:dyDescent="0.2">
      <c r="A77" s="46" t="s">
        <v>36</v>
      </c>
      <c r="B77" s="68">
        <f>1000/60/30</f>
        <v>0.55555555555555558</v>
      </c>
      <c r="C77" s="20">
        <v>0</v>
      </c>
      <c r="D77" s="21">
        <v>30</v>
      </c>
      <c r="E77" s="69">
        <f>B77*D77*G82/1000+C77*D77*G80</f>
        <v>333.33333333333337</v>
      </c>
      <c r="F77" s="70">
        <v>0.2</v>
      </c>
      <c r="G77" s="72">
        <v>0</v>
      </c>
      <c r="H77" s="24">
        <f>F77*(I71+I70)</f>
        <v>31.907049223989077</v>
      </c>
      <c r="I77" s="25">
        <f>E77+H77*G80</f>
        <v>365.24038255732245</v>
      </c>
    </row>
    <row r="78" spans="1:11" ht="15.75" x14ac:dyDescent="0.2">
      <c r="A78" s="46" t="s">
        <v>23</v>
      </c>
      <c r="B78" s="68">
        <f>1000/60/40</f>
        <v>0.41666666666666669</v>
      </c>
      <c r="C78" s="20">
        <v>0</v>
      </c>
      <c r="D78" s="21">
        <v>140</v>
      </c>
      <c r="E78" s="69">
        <f>B78*D78*G82/1000+C78*D78*G80</f>
        <v>1166.6666666666667</v>
      </c>
      <c r="F78" s="70">
        <v>1</v>
      </c>
      <c r="G78" s="72">
        <v>10</v>
      </c>
      <c r="H78" s="24">
        <f>F78*I73+G78*H72</f>
        <v>282.0807329465004</v>
      </c>
      <c r="I78" s="25">
        <f>E78+H78*G80</f>
        <v>1448.7473996131671</v>
      </c>
    </row>
    <row r="79" spans="1:11" ht="24" x14ac:dyDescent="0.2">
      <c r="A79" s="157" t="s">
        <v>37</v>
      </c>
      <c r="B79" s="158"/>
      <c r="C79" s="28" t="s">
        <v>38</v>
      </c>
      <c r="D79" s="28" t="s">
        <v>39</v>
      </c>
      <c r="E79" s="28" t="s">
        <v>40</v>
      </c>
      <c r="F79" s="29" t="s">
        <v>41</v>
      </c>
      <c r="G79" s="30" t="s">
        <v>42</v>
      </c>
      <c r="H79" s="31" t="s">
        <v>43</v>
      </c>
      <c r="I79" s="32">
        <f>SUM(I75:I78)</f>
        <v>3029.0199952868415</v>
      </c>
    </row>
    <row r="80" spans="1:11" ht="15" x14ac:dyDescent="0.2">
      <c r="A80" s="159"/>
      <c r="B80" s="160"/>
      <c r="C80" s="58">
        <f>0.0074/3</f>
        <v>2.4666666666666669E-3</v>
      </c>
      <c r="D80" s="58">
        <v>0.85</v>
      </c>
      <c r="E80" s="33">
        <v>1.2999999999999999E-2</v>
      </c>
      <c r="F80" s="73">
        <v>2.5000000000000001E-2</v>
      </c>
      <c r="G80" s="35">
        <v>1</v>
      </c>
      <c r="H80" s="163" t="s">
        <v>44</v>
      </c>
      <c r="I80" s="143" t="s">
        <v>45</v>
      </c>
    </row>
    <row r="81" spans="1:9" ht="24" x14ac:dyDescent="0.2">
      <c r="A81" s="159"/>
      <c r="B81" s="160"/>
      <c r="C81" s="30" t="s">
        <v>37</v>
      </c>
      <c r="D81" s="36" t="s">
        <v>46</v>
      </c>
      <c r="E81" s="28" t="s">
        <v>47</v>
      </c>
      <c r="F81" s="31" t="s">
        <v>48</v>
      </c>
      <c r="G81" s="37" t="s">
        <v>49</v>
      </c>
      <c r="H81" s="163"/>
      <c r="I81" s="144"/>
    </row>
    <row r="82" spans="1:9" ht="18.75" x14ac:dyDescent="0.2">
      <c r="A82" s="159"/>
      <c r="B82" s="160"/>
      <c r="C82" s="76">
        <f>200/50000*G82</f>
        <v>80</v>
      </c>
      <c r="D82" s="77">
        <v>0.05</v>
      </c>
      <c r="E82" s="38">
        <v>0</v>
      </c>
      <c r="F82" s="59">
        <v>0.13</v>
      </c>
      <c r="G82" s="75">
        <v>20000</v>
      </c>
      <c r="H82" s="39">
        <f>I79/G82+B73+B73*F80</f>
        <v>2.0967035124659712</v>
      </c>
      <c r="I82" s="65">
        <f>(H82/(1-D82)+C80+E80+E82/G82+C82/G82+C84*D84+D80*G73)*(1+F82)*(1+E84+F84)</f>
        <v>2.5992093120009723</v>
      </c>
    </row>
    <row r="83" spans="1:9" x14ac:dyDescent="0.2">
      <c r="A83" s="159"/>
      <c r="B83" s="160"/>
      <c r="C83" s="29" t="s">
        <v>50</v>
      </c>
      <c r="D83" s="29" t="s">
        <v>51</v>
      </c>
      <c r="E83" s="60" t="s">
        <v>52</v>
      </c>
      <c r="F83" s="60" t="s">
        <v>53</v>
      </c>
      <c r="G83" s="60" t="s">
        <v>54</v>
      </c>
      <c r="H83" s="40" t="s">
        <v>55</v>
      </c>
      <c r="I83" s="66" t="s">
        <v>56</v>
      </c>
    </row>
    <row r="84" spans="1:9" ht="18.75" x14ac:dyDescent="0.2">
      <c r="A84" s="161"/>
      <c r="B84" s="162"/>
      <c r="C84" s="41">
        <v>0</v>
      </c>
      <c r="D84" s="74">
        <v>0</v>
      </c>
      <c r="E84" s="61">
        <v>7.0000000000000001E-3</v>
      </c>
      <c r="F84" s="61">
        <v>0</v>
      </c>
      <c r="G84" s="62">
        <v>0.15</v>
      </c>
      <c r="H84" s="39">
        <f>(H82+C80+E80+E82/G82+C82/G82+C84*D84+D80*G73)*(1+F82)*(1+E84+F84)</f>
        <v>2.4736377386393853</v>
      </c>
      <c r="I84" s="65">
        <f>I82+(I82-H84)*G84</f>
        <v>2.6180450480052104</v>
      </c>
    </row>
  </sheetData>
  <mergeCells count="61">
    <mergeCell ref="A37:B42"/>
    <mergeCell ref="H38:H39"/>
    <mergeCell ref="C26:F27"/>
    <mergeCell ref="C28:F28"/>
    <mergeCell ref="I38:I39"/>
    <mergeCell ref="C29:F29"/>
    <mergeCell ref="C30:F30"/>
    <mergeCell ref="C31:F31"/>
    <mergeCell ref="A79:B84"/>
    <mergeCell ref="B67:F67"/>
    <mergeCell ref="H67:I67"/>
    <mergeCell ref="A68:A69"/>
    <mergeCell ref="B68:B69"/>
    <mergeCell ref="C68:F69"/>
    <mergeCell ref="H80:H81"/>
    <mergeCell ref="I80:I81"/>
    <mergeCell ref="C70:F70"/>
    <mergeCell ref="C71:F71"/>
    <mergeCell ref="C72:F72"/>
    <mergeCell ref="C73:F73"/>
    <mergeCell ref="A64:I64"/>
    <mergeCell ref="B66:F66"/>
    <mergeCell ref="H66:I66"/>
    <mergeCell ref="C7:F7"/>
    <mergeCell ref="C8:F8"/>
    <mergeCell ref="C9:F9"/>
    <mergeCell ref="C10:F10"/>
    <mergeCell ref="A16:B21"/>
    <mergeCell ref="I17:I18"/>
    <mergeCell ref="H17:H18"/>
    <mergeCell ref="A43:I43"/>
    <mergeCell ref="B45:F45"/>
    <mergeCell ref="H45:I45"/>
    <mergeCell ref="H25:I25"/>
    <mergeCell ref="A26:A27"/>
    <mergeCell ref="B26:B27"/>
    <mergeCell ref="A22:I22"/>
    <mergeCell ref="B24:F24"/>
    <mergeCell ref="H24:I24"/>
    <mergeCell ref="B25:F25"/>
    <mergeCell ref="J1:K2"/>
    <mergeCell ref="A1:I1"/>
    <mergeCell ref="B3:F3"/>
    <mergeCell ref="H3:I3"/>
    <mergeCell ref="B4:F4"/>
    <mergeCell ref="H4:I4"/>
    <mergeCell ref="A5:A6"/>
    <mergeCell ref="B5:B6"/>
    <mergeCell ref="C5:F6"/>
    <mergeCell ref="I59:I60"/>
    <mergeCell ref="B46:F46"/>
    <mergeCell ref="H46:I46"/>
    <mergeCell ref="A47:A48"/>
    <mergeCell ref="B47:B48"/>
    <mergeCell ref="C47:F48"/>
    <mergeCell ref="C49:F49"/>
    <mergeCell ref="C50:F50"/>
    <mergeCell ref="C51:F51"/>
    <mergeCell ref="C52:F52"/>
    <mergeCell ref="A58:B63"/>
    <mergeCell ref="H59:H60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DD4B-CDF1-4CAA-AABD-8D0E960DA824}">
  <dimension ref="A1:K21"/>
  <sheetViews>
    <sheetView workbookViewId="0">
      <selection activeCell="M23" sqref="M23"/>
    </sheetView>
  </sheetViews>
  <sheetFormatPr defaultRowHeight="14.25" x14ac:dyDescent="0.2"/>
  <cols>
    <col min="6" max="6" width="11.75" customWidth="1"/>
    <col min="7" max="7" width="11.375" customWidth="1"/>
    <col min="8" max="8" width="12.25" customWidth="1"/>
    <col min="9" max="9" width="13.25" customWidth="1"/>
  </cols>
  <sheetData>
    <row r="1" spans="1:11" ht="25.5" x14ac:dyDescent="0.2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0" t="s">
        <v>64</v>
      </c>
      <c r="K1" s="170"/>
    </row>
    <row r="2" spans="1:11" ht="25.5" x14ac:dyDescent="0.2">
      <c r="A2" s="67"/>
      <c r="B2" s="67"/>
      <c r="C2" s="67"/>
      <c r="D2" s="67"/>
      <c r="E2" s="43"/>
      <c r="F2" s="3"/>
      <c r="G2" s="3"/>
      <c r="H2" s="3" t="s">
        <v>1</v>
      </c>
      <c r="I2" s="45" t="s">
        <v>73</v>
      </c>
      <c r="J2" s="170"/>
      <c r="K2" s="170"/>
    </row>
    <row r="3" spans="1:11" ht="15" x14ac:dyDescent="0.2">
      <c r="A3" s="6" t="s">
        <v>3</v>
      </c>
      <c r="B3" s="179"/>
      <c r="C3" s="180"/>
      <c r="D3" s="180"/>
      <c r="E3" s="180"/>
      <c r="F3" s="181"/>
      <c r="G3" s="46" t="s">
        <v>4</v>
      </c>
      <c r="H3" s="182">
        <v>45142</v>
      </c>
      <c r="I3" s="183"/>
      <c r="J3" s="53" t="s">
        <v>65</v>
      </c>
      <c r="K3" s="53"/>
    </row>
    <row r="4" spans="1:11" ht="15" x14ac:dyDescent="0.2">
      <c r="A4" s="6" t="s">
        <v>5</v>
      </c>
      <c r="B4" s="189" t="s">
        <v>67</v>
      </c>
      <c r="C4" s="190"/>
      <c r="D4" s="190"/>
      <c r="E4" s="190"/>
      <c r="F4" s="191"/>
      <c r="G4" s="6" t="s">
        <v>7</v>
      </c>
      <c r="H4" s="192" t="s">
        <v>68</v>
      </c>
      <c r="I4" s="192"/>
      <c r="J4" s="54"/>
      <c r="K4" s="54"/>
    </row>
    <row r="5" spans="1:11" ht="15" x14ac:dyDescent="0.2">
      <c r="A5" s="150" t="s">
        <v>9</v>
      </c>
      <c r="B5" s="151" t="s">
        <v>10</v>
      </c>
      <c r="C5" s="152" t="s">
        <v>11</v>
      </c>
      <c r="D5" s="152"/>
      <c r="E5" s="152"/>
      <c r="F5" s="152"/>
      <c r="G5" s="6" t="s">
        <v>12</v>
      </c>
      <c r="H5" s="6" t="s">
        <v>13</v>
      </c>
      <c r="I5" s="6" t="s">
        <v>14</v>
      </c>
      <c r="J5" s="54"/>
      <c r="K5" s="54"/>
    </row>
    <row r="6" spans="1:11" ht="15.75" x14ac:dyDescent="0.2">
      <c r="A6" s="150"/>
      <c r="B6" s="150"/>
      <c r="C6" s="152"/>
      <c r="D6" s="152"/>
      <c r="E6" s="152"/>
      <c r="F6" s="152"/>
      <c r="G6" s="6" t="s">
        <v>15</v>
      </c>
      <c r="H6" s="7" t="s">
        <v>16</v>
      </c>
      <c r="I6" s="7" t="s">
        <v>17</v>
      </c>
      <c r="J6" s="54"/>
      <c r="K6" s="54"/>
    </row>
    <row r="7" spans="1:11" ht="15.75" x14ac:dyDescent="0.2">
      <c r="A7" s="46">
        <v>1</v>
      </c>
      <c r="B7" s="47" t="s">
        <v>19</v>
      </c>
      <c r="C7" s="153" t="s">
        <v>69</v>
      </c>
      <c r="D7" s="154"/>
      <c r="E7" s="154"/>
      <c r="F7" s="155"/>
      <c r="G7" s="48">
        <f>0.158^2*41*0.7854*8.89/10*3*1.015*1.015</f>
        <v>2.208737108649137</v>
      </c>
      <c r="H7" s="63">
        <f>(J7+1300)/1.13/1000+4.49</f>
        <v>67.587345132743366</v>
      </c>
      <c r="I7" s="11">
        <f>G7*H7</f>
        <v>149.28267726976691</v>
      </c>
      <c r="J7" s="55">
        <v>70000</v>
      </c>
      <c r="K7" s="53"/>
    </row>
    <row r="8" spans="1:11" ht="15.75" x14ac:dyDescent="0.2">
      <c r="A8" s="46">
        <v>2</v>
      </c>
      <c r="B8" s="47" t="s">
        <v>21</v>
      </c>
      <c r="C8" s="153" t="s">
        <v>74</v>
      </c>
      <c r="D8" s="154"/>
      <c r="E8" s="154"/>
      <c r="F8" s="155"/>
      <c r="G8" s="48">
        <f>(1.83^2-1.16^2*0.85)*0.7854*1.47/10*3*1.015</f>
        <v>0.77523200825994032</v>
      </c>
      <c r="H8" s="64">
        <f>7.59+0.3</f>
        <v>7.89</v>
      </c>
      <c r="I8" s="11">
        <f>G8*H8</f>
        <v>6.1165805451709288</v>
      </c>
    </row>
    <row r="9" spans="1:11" ht="15.75" x14ac:dyDescent="0.2">
      <c r="A9" s="46">
        <v>3</v>
      </c>
      <c r="B9" s="46" t="s">
        <v>23</v>
      </c>
      <c r="C9" s="153" t="s">
        <v>75</v>
      </c>
      <c r="D9" s="154"/>
      <c r="E9" s="154"/>
      <c r="F9" s="155"/>
      <c r="G9" s="48">
        <f>(5.55^2-1.8^2*3)*0.7854*1.47/10</f>
        <v>2.4340547384999995</v>
      </c>
      <c r="H9" s="64">
        <f>9.01+0.3</f>
        <v>9.31</v>
      </c>
      <c r="I9" s="11">
        <f>G9*H9</f>
        <v>22.661049615434997</v>
      </c>
    </row>
    <row r="10" spans="1:11" ht="15.75" x14ac:dyDescent="0.2">
      <c r="A10" s="12" t="s">
        <v>25</v>
      </c>
      <c r="B10" s="13">
        <f>I10/100</f>
        <v>1.7806030743037282</v>
      </c>
      <c r="C10" s="156" t="s">
        <v>26</v>
      </c>
      <c r="D10" s="156"/>
      <c r="E10" s="156"/>
      <c r="F10" s="156"/>
      <c r="G10" s="14">
        <f>SUM(G7:G9)/100</f>
        <v>5.4180238554090765E-2</v>
      </c>
      <c r="H10" s="15" t="s">
        <v>27</v>
      </c>
      <c r="I10" s="16">
        <f>SUM(I7:I9)</f>
        <v>178.06030743037283</v>
      </c>
      <c r="J10" s="56">
        <f>B10*1.13/I21</f>
        <v>0.81247812526216523</v>
      </c>
      <c r="K10" s="57">
        <f>G10*G19</f>
        <v>1083.6047710818152</v>
      </c>
    </row>
    <row r="11" spans="1:11" ht="36" x14ac:dyDescent="0.2">
      <c r="A11" s="17" t="s">
        <v>10</v>
      </c>
      <c r="B11" s="18" t="s">
        <v>28</v>
      </c>
      <c r="C11" s="17" t="s">
        <v>29</v>
      </c>
      <c r="D11" s="17" t="s">
        <v>30</v>
      </c>
      <c r="E11" s="17" t="s">
        <v>31</v>
      </c>
      <c r="F11" s="18" t="s">
        <v>32</v>
      </c>
      <c r="G11" s="18" t="s">
        <v>33</v>
      </c>
      <c r="H11" s="19" t="s">
        <v>34</v>
      </c>
      <c r="I11" s="17" t="s">
        <v>35</v>
      </c>
    </row>
    <row r="12" spans="1:11" ht="15.75" x14ac:dyDescent="0.2">
      <c r="A12" s="46" t="s">
        <v>19</v>
      </c>
      <c r="B12" s="68">
        <f>0.24*3</f>
        <v>0.72</v>
      </c>
      <c r="C12" s="20">
        <v>0</v>
      </c>
      <c r="D12" s="21">
        <v>10</v>
      </c>
      <c r="E12" s="69">
        <f>B12*D12*G19/1000+C12*D12*G17</f>
        <v>144</v>
      </c>
      <c r="F12" s="78">
        <v>1</v>
      </c>
      <c r="G12" s="79">
        <v>0</v>
      </c>
      <c r="H12" s="24">
        <f>F12*I7</f>
        <v>149.28267726976691</v>
      </c>
      <c r="I12" s="25">
        <f>E12+H12*G17</f>
        <v>293.28267726976691</v>
      </c>
    </row>
    <row r="13" spans="1:11" ht="15.75" x14ac:dyDescent="0.2">
      <c r="A13" s="46" t="s">
        <v>21</v>
      </c>
      <c r="B13" s="68">
        <f>1000/60/200*3</f>
        <v>0.25</v>
      </c>
      <c r="C13" s="20">
        <v>0</v>
      </c>
      <c r="D13" s="21">
        <v>120</v>
      </c>
      <c r="E13" s="69">
        <f>B13*D13*G19/1000+C13*D13*G17</f>
        <v>600</v>
      </c>
      <c r="F13" s="78">
        <v>1.5</v>
      </c>
      <c r="G13" s="80">
        <v>2</v>
      </c>
      <c r="H13" s="24">
        <f>F13*(I8+I7)+G13*H8</f>
        <v>248.87888672240675</v>
      </c>
      <c r="I13" s="25">
        <f>E13+H13*G17</f>
        <v>848.87888672240672</v>
      </c>
    </row>
    <row r="14" spans="1:11" ht="15.75" x14ac:dyDescent="0.2">
      <c r="A14" s="46" t="s">
        <v>36</v>
      </c>
      <c r="B14" s="68">
        <f>1000/60/40</f>
        <v>0.41666666666666669</v>
      </c>
      <c r="C14" s="20">
        <v>0</v>
      </c>
      <c r="D14" s="21">
        <v>40</v>
      </c>
      <c r="E14" s="69">
        <f>B14*D14*G19/1000+C14*D14*G17</f>
        <v>333.33333333333337</v>
      </c>
      <c r="F14" s="78">
        <v>0.2</v>
      </c>
      <c r="G14" s="80">
        <v>0</v>
      </c>
      <c r="H14" s="24">
        <f>F14*(I8+I7)</f>
        <v>31.079851562987571</v>
      </c>
      <c r="I14" s="25">
        <f>E14+H14*G17</f>
        <v>364.41318489632096</v>
      </c>
    </row>
    <row r="15" spans="1:11" ht="15.75" x14ac:dyDescent="0.2">
      <c r="A15" s="46" t="s">
        <v>23</v>
      </c>
      <c r="B15" s="68">
        <f>1000/60/40</f>
        <v>0.41666666666666669</v>
      </c>
      <c r="C15" s="20">
        <v>0</v>
      </c>
      <c r="D15" s="21">
        <v>140</v>
      </c>
      <c r="E15" s="69">
        <f>B15*D15*G19/1000+C15*D15*G17</f>
        <v>1166.6666666666667</v>
      </c>
      <c r="F15" s="78">
        <v>1</v>
      </c>
      <c r="G15" s="80">
        <v>10</v>
      </c>
      <c r="H15" s="24">
        <f>F15*I10+G15*H9</f>
        <v>271.16030743037282</v>
      </c>
      <c r="I15" s="25">
        <f>E15+H15*G17</f>
        <v>1437.8269740970395</v>
      </c>
    </row>
    <row r="16" spans="1:11" ht="24" x14ac:dyDescent="0.2">
      <c r="A16" s="157" t="s">
        <v>37</v>
      </c>
      <c r="B16" s="158"/>
      <c r="C16" s="28" t="s">
        <v>38</v>
      </c>
      <c r="D16" s="28" t="s">
        <v>39</v>
      </c>
      <c r="E16" s="28" t="s">
        <v>40</v>
      </c>
      <c r="F16" s="29" t="s">
        <v>41</v>
      </c>
      <c r="G16" s="30" t="s">
        <v>42</v>
      </c>
      <c r="H16" s="31" t="s">
        <v>43</v>
      </c>
      <c r="I16" s="32">
        <f>SUM(I12:I15)</f>
        <v>2944.401722985534</v>
      </c>
    </row>
    <row r="17" spans="1:9" ht="15" x14ac:dyDescent="0.2">
      <c r="A17" s="159"/>
      <c r="B17" s="160"/>
      <c r="C17" s="58">
        <f>0.0074/3</f>
        <v>2.4666666666666669E-3</v>
      </c>
      <c r="D17" s="58">
        <v>0.85</v>
      </c>
      <c r="E17" s="33">
        <v>6.7000000000000002E-3</v>
      </c>
      <c r="F17" s="73">
        <v>2.5000000000000001E-2</v>
      </c>
      <c r="G17" s="35">
        <v>1</v>
      </c>
      <c r="H17" s="163" t="s">
        <v>44</v>
      </c>
      <c r="I17" s="143" t="s">
        <v>45</v>
      </c>
    </row>
    <row r="18" spans="1:9" ht="24" x14ac:dyDescent="0.2">
      <c r="A18" s="159"/>
      <c r="B18" s="160"/>
      <c r="C18" s="30" t="s">
        <v>37</v>
      </c>
      <c r="D18" s="36" t="s">
        <v>46</v>
      </c>
      <c r="E18" s="28" t="s">
        <v>47</v>
      </c>
      <c r="F18" s="31" t="s">
        <v>48</v>
      </c>
      <c r="G18" s="37" t="s">
        <v>49</v>
      </c>
      <c r="H18" s="163"/>
      <c r="I18" s="144"/>
    </row>
    <row r="19" spans="1:9" ht="18.75" x14ac:dyDescent="0.2">
      <c r="A19" s="159"/>
      <c r="B19" s="160"/>
      <c r="C19" s="76">
        <f>200/50000*G19</f>
        <v>80</v>
      </c>
      <c r="D19" s="77">
        <v>0.06</v>
      </c>
      <c r="E19" s="38">
        <v>0</v>
      </c>
      <c r="F19" s="59">
        <v>0.13</v>
      </c>
      <c r="G19" s="75">
        <v>20000</v>
      </c>
      <c r="H19" s="39">
        <f>I16/G19+B10+B10*F17</f>
        <v>1.9723382373105982</v>
      </c>
      <c r="I19" s="65">
        <f>(H19/(1-D19)+C17+E17+E19/G19+C19/G19+C21*D21+D17*G10)*(1+F19)*(1+E21+F21)</f>
        <v>2.454986247182962</v>
      </c>
    </row>
    <row r="20" spans="1:9" x14ac:dyDescent="0.2">
      <c r="A20" s="159"/>
      <c r="B20" s="160"/>
      <c r="C20" s="29" t="s">
        <v>50</v>
      </c>
      <c r="D20" s="29" t="s">
        <v>51</v>
      </c>
      <c r="E20" s="60" t="s">
        <v>52</v>
      </c>
      <c r="F20" s="60" t="s">
        <v>53</v>
      </c>
      <c r="G20" s="60" t="s">
        <v>54</v>
      </c>
      <c r="H20" s="40" t="s">
        <v>55</v>
      </c>
      <c r="I20" s="66" t="s">
        <v>56</v>
      </c>
    </row>
    <row r="21" spans="1:9" ht="18.75" x14ac:dyDescent="0.2">
      <c r="A21" s="161"/>
      <c r="B21" s="162"/>
      <c r="C21" s="41">
        <v>0</v>
      </c>
      <c r="D21" s="74">
        <v>0</v>
      </c>
      <c r="E21" s="61">
        <v>7.0000000000000001E-3</v>
      </c>
      <c r="F21" s="61">
        <v>0</v>
      </c>
      <c r="G21" s="62">
        <v>0.15</v>
      </c>
      <c r="H21" s="39">
        <f>(H19+C17+E17+E19/G19+C19/G19+C21*D21+D17*G10)*(1+F19)*(1+E21+F21)</f>
        <v>2.3117302852498911</v>
      </c>
      <c r="I21" s="65">
        <f>I19+(I19-H21)*G21</f>
        <v>2.4764746414729224</v>
      </c>
    </row>
  </sheetData>
  <mergeCells count="16">
    <mergeCell ref="A16:B21"/>
    <mergeCell ref="H17:H18"/>
    <mergeCell ref="A1:I1"/>
    <mergeCell ref="B3:F3"/>
    <mergeCell ref="H3:I3"/>
    <mergeCell ref="B4:F4"/>
    <mergeCell ref="H4:I4"/>
    <mergeCell ref="A5:A6"/>
    <mergeCell ref="B5:B6"/>
    <mergeCell ref="C5:F6"/>
    <mergeCell ref="I17:I18"/>
    <mergeCell ref="J1:K2"/>
    <mergeCell ref="C7:F7"/>
    <mergeCell ref="C8:F8"/>
    <mergeCell ref="C9:F9"/>
    <mergeCell ref="C10:F10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7CFF-3454-4090-A785-2C814374D823}">
  <dimension ref="A1:L25"/>
  <sheetViews>
    <sheetView workbookViewId="0">
      <selection activeCell="E34" sqref="E34"/>
    </sheetView>
  </sheetViews>
  <sheetFormatPr defaultRowHeight="14.25" x14ac:dyDescent="0.2"/>
  <cols>
    <col min="2" max="2" width="11.5" customWidth="1"/>
    <col min="4" max="4" width="11" customWidth="1"/>
    <col min="5" max="5" width="9.75" customWidth="1"/>
    <col min="6" max="6" width="10.125" customWidth="1"/>
    <col min="7" max="7" width="10.875" customWidth="1"/>
    <col min="8" max="8" width="12" customWidth="1"/>
    <col min="9" max="9" width="19.25" customWidth="1"/>
  </cols>
  <sheetData>
    <row r="1" spans="1:12" ht="25.5" x14ac:dyDescent="0.2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0" t="s">
        <v>64</v>
      </c>
      <c r="K1" s="170"/>
      <c r="L1" t="s">
        <v>84</v>
      </c>
    </row>
    <row r="2" spans="1:12" ht="25.5" x14ac:dyDescent="0.2">
      <c r="A2" s="67"/>
      <c r="B2" s="67"/>
      <c r="C2" s="67"/>
      <c r="D2" s="67"/>
      <c r="E2" s="43"/>
      <c r="F2" s="3"/>
      <c r="G2" s="3"/>
      <c r="H2" s="3" t="s">
        <v>1</v>
      </c>
      <c r="I2" s="45" t="s">
        <v>76</v>
      </c>
      <c r="J2" s="170"/>
      <c r="K2" s="170"/>
    </row>
    <row r="3" spans="1:12" ht="15" x14ac:dyDescent="0.2">
      <c r="A3" s="6" t="s">
        <v>3</v>
      </c>
      <c r="B3" s="179"/>
      <c r="C3" s="180"/>
      <c r="D3" s="180"/>
      <c r="E3" s="180"/>
      <c r="F3" s="181"/>
      <c r="G3" s="46" t="s">
        <v>4</v>
      </c>
      <c r="H3" s="182">
        <v>45149</v>
      </c>
      <c r="I3" s="183"/>
      <c r="J3" s="53" t="s">
        <v>65</v>
      </c>
      <c r="K3" s="53"/>
    </row>
    <row r="4" spans="1:12" ht="15" x14ac:dyDescent="0.2">
      <c r="A4" s="6" t="s">
        <v>5</v>
      </c>
      <c r="B4" s="189" t="s">
        <v>77</v>
      </c>
      <c r="C4" s="190"/>
      <c r="D4" s="190"/>
      <c r="E4" s="190"/>
      <c r="F4" s="191"/>
      <c r="G4" s="6" t="s">
        <v>7</v>
      </c>
      <c r="H4" s="192" t="s">
        <v>78</v>
      </c>
      <c r="I4" s="192"/>
      <c r="J4" s="54"/>
      <c r="K4" s="54"/>
    </row>
    <row r="5" spans="1:12" ht="15" x14ac:dyDescent="0.2">
      <c r="A5" s="150" t="s">
        <v>9</v>
      </c>
      <c r="B5" s="151" t="s">
        <v>10</v>
      </c>
      <c r="C5" s="152" t="s">
        <v>11</v>
      </c>
      <c r="D5" s="152"/>
      <c r="E5" s="152"/>
      <c r="F5" s="152"/>
      <c r="G5" s="6" t="s">
        <v>12</v>
      </c>
      <c r="H5" s="6" t="s">
        <v>13</v>
      </c>
      <c r="I5" s="6" t="s">
        <v>14</v>
      </c>
      <c r="J5" s="54"/>
      <c r="K5" s="54"/>
    </row>
    <row r="6" spans="1:12" ht="15.75" x14ac:dyDescent="0.2">
      <c r="A6" s="150"/>
      <c r="B6" s="150"/>
      <c r="C6" s="152"/>
      <c r="D6" s="152"/>
      <c r="E6" s="152"/>
      <c r="F6" s="152"/>
      <c r="G6" s="6" t="s">
        <v>15</v>
      </c>
      <c r="H6" s="7" t="s">
        <v>16</v>
      </c>
      <c r="I6" s="7" t="s">
        <v>17</v>
      </c>
      <c r="J6" s="54"/>
      <c r="K6" s="54"/>
    </row>
    <row r="7" spans="1:12" ht="15.75" x14ac:dyDescent="0.2">
      <c r="A7" s="46">
        <v>1</v>
      </c>
      <c r="B7" s="47" t="s">
        <v>19</v>
      </c>
      <c r="C7" s="153" t="s">
        <v>79</v>
      </c>
      <c r="D7" s="154"/>
      <c r="E7" s="154"/>
      <c r="F7" s="155"/>
      <c r="G7" s="48">
        <f>0.254^2*26*0.7854*8.89/10*2*1.015*1.015</f>
        <v>2.4132122391800621</v>
      </c>
      <c r="H7" s="63">
        <f>(J7+1300)/1.13/1000+3.79</f>
        <v>66.887345132743377</v>
      </c>
      <c r="I7" s="11">
        <f>G7*H7</f>
        <v>161.41335992059729</v>
      </c>
      <c r="J7" s="55">
        <v>70000</v>
      </c>
      <c r="K7" s="53"/>
    </row>
    <row r="8" spans="1:12" ht="15.75" x14ac:dyDescent="0.2">
      <c r="A8" s="46"/>
      <c r="B8" s="47" t="s">
        <v>19</v>
      </c>
      <c r="C8" s="153" t="s">
        <v>80</v>
      </c>
      <c r="D8" s="154"/>
      <c r="E8" s="154"/>
      <c r="F8" s="155"/>
      <c r="G8" s="48">
        <f>0.157^2*7*0.7854*8.89/10*1*1.015*1.015</f>
        <v>0.12411437573769578</v>
      </c>
      <c r="H8" s="63">
        <f>(J7+1300)/1.13/1000+4.49</f>
        <v>67.587345132743366</v>
      </c>
      <c r="I8" s="11">
        <f>G8*H8</f>
        <v>8.3885611489186349</v>
      </c>
    </row>
    <row r="9" spans="1:12" ht="15.75" x14ac:dyDescent="0.2">
      <c r="A9" s="46">
        <v>2</v>
      </c>
      <c r="B9" s="47" t="s">
        <v>21</v>
      </c>
      <c r="C9" s="153" t="s">
        <v>81</v>
      </c>
      <c r="D9" s="154"/>
      <c r="E9" s="154"/>
      <c r="F9" s="155"/>
      <c r="G9" s="48">
        <f>(2.1^2-1.48^2*0.85)*0.7854*1.47/10*2*1.015</f>
        <v>0.59721535266624004</v>
      </c>
      <c r="H9" s="64">
        <f>7.72+0.3</f>
        <v>8.02</v>
      </c>
      <c r="I9" s="11">
        <f>G9*H9</f>
        <v>4.789667128383245</v>
      </c>
      <c r="J9" t="s">
        <v>85</v>
      </c>
    </row>
    <row r="10" spans="1:12" ht="15.75" x14ac:dyDescent="0.2">
      <c r="A10" s="46"/>
      <c r="B10" s="47" t="s">
        <v>21</v>
      </c>
      <c r="C10" s="153" t="s">
        <v>82</v>
      </c>
      <c r="D10" s="154"/>
      <c r="E10" s="154"/>
      <c r="F10" s="155"/>
      <c r="G10" s="48">
        <f>(1^2-0.46^2*0.85)*0.7854*1.47/10*1*1.015</f>
        <v>9.6108603724979993E-2</v>
      </c>
      <c r="H10" s="64">
        <f>7.72+0.3</f>
        <v>8.02</v>
      </c>
      <c r="I10" s="11">
        <f>G10*H10</f>
        <v>0.77079100187433947</v>
      </c>
    </row>
    <row r="11" spans="1:12" ht="15.75" x14ac:dyDescent="0.2">
      <c r="A11" s="46">
        <v>3</v>
      </c>
      <c r="B11" s="46" t="s">
        <v>23</v>
      </c>
      <c r="C11" s="153" t="s">
        <v>83</v>
      </c>
      <c r="D11" s="154"/>
      <c r="E11" s="154"/>
      <c r="F11" s="155"/>
      <c r="G11" s="48">
        <f>(6.05^2-2.1^2*2-1^2)*0.7854*1.43/10</f>
        <v>3.0080014964999995</v>
      </c>
      <c r="H11" s="64">
        <f>9.21+0.3</f>
        <v>9.5100000000000016</v>
      </c>
      <c r="I11" s="11">
        <f>G11*H11</f>
        <v>28.606094231715002</v>
      </c>
    </row>
    <row r="12" spans="1:12" ht="15.75" x14ac:dyDescent="0.2">
      <c r="A12" s="12" t="s">
        <v>25</v>
      </c>
      <c r="B12" s="13">
        <f>I12/100</f>
        <v>2.0396847343148847</v>
      </c>
      <c r="C12" s="156" t="s">
        <v>26</v>
      </c>
      <c r="D12" s="156"/>
      <c r="E12" s="156"/>
      <c r="F12" s="156"/>
      <c r="G12" s="14">
        <f>SUM(G7:G11)/100</f>
        <v>6.2386520678089773E-2</v>
      </c>
      <c r="H12" s="15" t="s">
        <v>27</v>
      </c>
      <c r="I12" s="16">
        <f>SUM(I7:I11)</f>
        <v>203.96847343148849</v>
      </c>
      <c r="J12" s="56">
        <f>B12*1.13/I25</f>
        <v>0.81415012729713321</v>
      </c>
      <c r="K12" s="57">
        <f>G12*G23</f>
        <v>1247.7304135617956</v>
      </c>
    </row>
    <row r="13" spans="1:12" ht="36" x14ac:dyDescent="0.2">
      <c r="A13" s="17" t="s">
        <v>10</v>
      </c>
      <c r="B13" s="18" t="s">
        <v>28</v>
      </c>
      <c r="C13" s="17" t="s">
        <v>29</v>
      </c>
      <c r="D13" s="17" t="s">
        <v>30</v>
      </c>
      <c r="E13" s="17" t="s">
        <v>31</v>
      </c>
      <c r="F13" s="18" t="s">
        <v>32</v>
      </c>
      <c r="G13" s="18" t="s">
        <v>33</v>
      </c>
      <c r="H13" s="19" t="s">
        <v>34</v>
      </c>
      <c r="I13" s="17" t="s">
        <v>35</v>
      </c>
    </row>
    <row r="14" spans="1:12" ht="15.75" x14ac:dyDescent="0.2">
      <c r="A14" s="46" t="s">
        <v>19</v>
      </c>
      <c r="B14" s="68">
        <f>0.24*2</f>
        <v>0.48</v>
      </c>
      <c r="C14" s="20">
        <v>0</v>
      </c>
      <c r="D14" s="21">
        <v>10</v>
      </c>
      <c r="E14" s="69">
        <f>B14*D14*G23/1000+C14*D14*G21</f>
        <v>96</v>
      </c>
      <c r="F14" s="22">
        <v>1</v>
      </c>
      <c r="G14" s="81">
        <v>0</v>
      </c>
      <c r="H14" s="24">
        <f>F14*I7</f>
        <v>161.41335992059729</v>
      </c>
      <c r="I14" s="25">
        <f>E14+H14*G21</f>
        <v>257.41335992059726</v>
      </c>
    </row>
    <row r="15" spans="1:12" ht="15.75" x14ac:dyDescent="0.2">
      <c r="A15" s="46" t="s">
        <v>19</v>
      </c>
      <c r="B15" s="68">
        <f>0.4</f>
        <v>0.4</v>
      </c>
      <c r="C15" s="20">
        <v>0</v>
      </c>
      <c r="D15" s="21">
        <v>10</v>
      </c>
      <c r="E15" s="69">
        <f>B15*D15*G23/1000+C15*D15*G21</f>
        <v>80</v>
      </c>
      <c r="F15" s="22">
        <v>1</v>
      </c>
      <c r="G15" s="81">
        <v>0</v>
      </c>
      <c r="H15" s="24">
        <f>F15*I8</f>
        <v>8.3885611489186349</v>
      </c>
      <c r="I15" s="25">
        <f>E15+H15*G21</f>
        <v>88.38856114891864</v>
      </c>
    </row>
    <row r="16" spans="1:12" ht="15.75" x14ac:dyDescent="0.2">
      <c r="A16" s="46" t="s">
        <v>21</v>
      </c>
      <c r="B16" s="68">
        <f>1000/60/180*2</f>
        <v>0.1851851851851852</v>
      </c>
      <c r="C16" s="20">
        <v>0</v>
      </c>
      <c r="D16" s="21">
        <v>120</v>
      </c>
      <c r="E16" s="69">
        <f>B16*D16*G23/1000+C16*D16*G21</f>
        <v>444.44444444444451</v>
      </c>
      <c r="F16" s="22">
        <v>1.5</v>
      </c>
      <c r="G16" s="27">
        <v>2</v>
      </c>
      <c r="H16" s="24">
        <f>F16*(I9+I7)+G16*H9</f>
        <v>265.34454057347085</v>
      </c>
      <c r="I16" s="25">
        <f>E16+H16*G21</f>
        <v>709.78898501791537</v>
      </c>
    </row>
    <row r="17" spans="1:9" ht="15.75" x14ac:dyDescent="0.2">
      <c r="A17" s="46" t="s">
        <v>21</v>
      </c>
      <c r="B17" s="68">
        <f>1000/60/250</f>
        <v>6.6666666666666666E-2</v>
      </c>
      <c r="C17" s="20">
        <v>0</v>
      </c>
      <c r="D17" s="21">
        <v>120</v>
      </c>
      <c r="E17" s="69">
        <f>B17*D17*G23/1000+C17*D17*G21</f>
        <v>160</v>
      </c>
      <c r="F17" s="22">
        <v>1.5</v>
      </c>
      <c r="G17" s="27">
        <v>2</v>
      </c>
      <c r="H17" s="24">
        <f>F17*(I10+I8)+G17*H10</f>
        <v>29.77902822618946</v>
      </c>
      <c r="I17" s="25">
        <f>E17+H17*G21</f>
        <v>189.77902822618947</v>
      </c>
    </row>
    <row r="18" spans="1:9" ht="15.75" x14ac:dyDescent="0.2">
      <c r="A18" s="46" t="s">
        <v>36</v>
      </c>
      <c r="B18" s="68">
        <f>1000/60/30</f>
        <v>0.55555555555555558</v>
      </c>
      <c r="C18" s="20">
        <v>0</v>
      </c>
      <c r="D18" s="21">
        <v>40</v>
      </c>
      <c r="E18" s="69">
        <f>B18*D18*G23/1000+C18*D18*G21</f>
        <v>444.44444444444446</v>
      </c>
      <c r="F18" s="22">
        <v>0.2</v>
      </c>
      <c r="G18" s="27">
        <v>0</v>
      </c>
      <c r="H18" s="24">
        <f>F18*(I9+I7+I8+I10)</f>
        <v>35.072475839954699</v>
      </c>
      <c r="I18" s="25">
        <f>E18+H18*G21</f>
        <v>479.51692028439913</v>
      </c>
    </row>
    <row r="19" spans="1:9" ht="15.75" x14ac:dyDescent="0.2">
      <c r="A19" s="46" t="s">
        <v>23</v>
      </c>
      <c r="B19" s="68">
        <f>1000/60/40</f>
        <v>0.41666666666666669</v>
      </c>
      <c r="C19" s="20">
        <v>0</v>
      </c>
      <c r="D19" s="21">
        <v>140</v>
      </c>
      <c r="E19" s="69">
        <f>B19*D19*G23/1000+C19*D19*G21</f>
        <v>1166.6666666666667</v>
      </c>
      <c r="F19" s="22">
        <v>1</v>
      </c>
      <c r="G19" s="27">
        <v>10</v>
      </c>
      <c r="H19" s="24">
        <f>F19*I12+G19*H11</f>
        <v>299.06847343148854</v>
      </c>
      <c r="I19" s="25">
        <f>E19+H19*G21</f>
        <v>1465.7351400981552</v>
      </c>
    </row>
    <row r="20" spans="1:9" ht="24" x14ac:dyDescent="0.2">
      <c r="A20" s="157" t="s">
        <v>37</v>
      </c>
      <c r="B20" s="158"/>
      <c r="C20" s="28" t="s">
        <v>38</v>
      </c>
      <c r="D20" s="28" t="s">
        <v>39</v>
      </c>
      <c r="E20" s="28" t="s">
        <v>40</v>
      </c>
      <c r="F20" s="29" t="s">
        <v>41</v>
      </c>
      <c r="G20" s="30" t="s">
        <v>42</v>
      </c>
      <c r="H20" s="31" t="s">
        <v>43</v>
      </c>
      <c r="I20" s="32">
        <f>SUM(I14:I19)</f>
        <v>3190.6219946961751</v>
      </c>
    </row>
    <row r="21" spans="1:9" ht="15" x14ac:dyDescent="0.2">
      <c r="A21" s="159"/>
      <c r="B21" s="160"/>
      <c r="C21" s="58">
        <f>0.0074/3</f>
        <v>2.4666666666666669E-3</v>
      </c>
      <c r="D21" s="58">
        <v>0.85</v>
      </c>
      <c r="E21" s="33">
        <v>1.2999999999999999E-2</v>
      </c>
      <c r="F21" s="34">
        <v>2.5000000000000001E-2</v>
      </c>
      <c r="G21" s="35">
        <v>1</v>
      </c>
      <c r="H21" s="163" t="s">
        <v>44</v>
      </c>
      <c r="I21" s="143" t="s">
        <v>45</v>
      </c>
    </row>
    <row r="22" spans="1:9" ht="24" x14ac:dyDescent="0.2">
      <c r="A22" s="159"/>
      <c r="B22" s="160"/>
      <c r="C22" s="30" t="s">
        <v>37</v>
      </c>
      <c r="D22" s="36" t="s">
        <v>46</v>
      </c>
      <c r="E22" s="28" t="s">
        <v>47</v>
      </c>
      <c r="F22" s="31" t="s">
        <v>48</v>
      </c>
      <c r="G22" s="37" t="s">
        <v>49</v>
      </c>
      <c r="H22" s="163"/>
      <c r="I22" s="144"/>
    </row>
    <row r="23" spans="1:9" ht="18.75" x14ac:dyDescent="0.2">
      <c r="A23" s="159"/>
      <c r="B23" s="160"/>
      <c r="C23" s="76">
        <f>200/50000*G23</f>
        <v>80</v>
      </c>
      <c r="D23" s="82">
        <v>0.06</v>
      </c>
      <c r="E23" s="38">
        <v>0</v>
      </c>
      <c r="F23" s="59">
        <v>0.13</v>
      </c>
      <c r="G23" s="75">
        <v>20000</v>
      </c>
      <c r="H23" s="39">
        <f>I20/G23+B12+B12*F21</f>
        <v>2.2502079524075658</v>
      </c>
      <c r="I23" s="65">
        <f>(H23/(1-D23)+C21+E21+E23/G23+C23/G23+C25*D25+D21*G12)*(1+F23)*(1+E25+F25)</f>
        <v>2.8064655034689987</v>
      </c>
    </row>
    <row r="24" spans="1:9" x14ac:dyDescent="0.2">
      <c r="A24" s="159"/>
      <c r="B24" s="160"/>
      <c r="C24" s="29" t="s">
        <v>50</v>
      </c>
      <c r="D24" s="29" t="s">
        <v>51</v>
      </c>
      <c r="E24" s="60" t="s">
        <v>52</v>
      </c>
      <c r="F24" s="60" t="s">
        <v>53</v>
      </c>
      <c r="G24" s="60" t="s">
        <v>54</v>
      </c>
      <c r="H24" s="40" t="s">
        <v>55</v>
      </c>
      <c r="I24" s="66" t="s">
        <v>56</v>
      </c>
    </row>
    <row r="25" spans="1:9" ht="18.75" x14ac:dyDescent="0.2">
      <c r="A25" s="161"/>
      <c r="B25" s="162"/>
      <c r="C25" s="41">
        <v>0</v>
      </c>
      <c r="D25" s="42">
        <v>0</v>
      </c>
      <c r="E25" s="61">
        <v>7.0000000000000001E-3</v>
      </c>
      <c r="F25" s="61">
        <v>0</v>
      </c>
      <c r="G25" s="62">
        <v>0.15</v>
      </c>
      <c r="H25" s="39">
        <f>(H23+C21+E21+E23/G23+C23/G23+C25*D25+D21*G12)*(1+F23)*(1+E25+F25)</f>
        <v>2.6430271546738435</v>
      </c>
      <c r="I25" s="65">
        <f>I23+(I23-H25)*G25</f>
        <v>2.8309812557882719</v>
      </c>
    </row>
  </sheetData>
  <mergeCells count="18">
    <mergeCell ref="J1:K2"/>
    <mergeCell ref="C7:F7"/>
    <mergeCell ref="C8:F8"/>
    <mergeCell ref="C9:F9"/>
    <mergeCell ref="C10:F10"/>
    <mergeCell ref="A1:I1"/>
    <mergeCell ref="B3:F3"/>
    <mergeCell ref="H3:I3"/>
    <mergeCell ref="B4:F4"/>
    <mergeCell ref="H4:I4"/>
    <mergeCell ref="A5:A6"/>
    <mergeCell ref="B5:B6"/>
    <mergeCell ref="C5:F6"/>
    <mergeCell ref="A20:B25"/>
    <mergeCell ref="H21:H22"/>
    <mergeCell ref="I21:I22"/>
    <mergeCell ref="C11:F11"/>
    <mergeCell ref="C12:F1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290A-152B-4227-BE67-07DD1E169386}">
  <dimension ref="A1:L25"/>
  <sheetViews>
    <sheetView workbookViewId="0">
      <selection activeCell="P18" sqref="P18"/>
    </sheetView>
  </sheetViews>
  <sheetFormatPr defaultRowHeight="14.25" x14ac:dyDescent="0.2"/>
  <cols>
    <col min="6" max="6" width="12" customWidth="1"/>
    <col min="7" max="7" width="12.375" customWidth="1"/>
    <col min="8" max="8" width="11.625" customWidth="1"/>
    <col min="9" max="9" width="12.125" customWidth="1"/>
  </cols>
  <sheetData>
    <row r="1" spans="1:12" ht="25.5" x14ac:dyDescent="0.2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0" t="s">
        <v>64</v>
      </c>
      <c r="K1" s="170"/>
      <c r="L1" t="s">
        <v>84</v>
      </c>
    </row>
    <row r="2" spans="1:12" ht="25.5" x14ac:dyDescent="0.2">
      <c r="A2" s="67"/>
      <c r="B2" s="67"/>
      <c r="C2" s="67"/>
      <c r="D2" s="67"/>
      <c r="E2" s="43"/>
      <c r="F2" s="3"/>
      <c r="G2" s="3"/>
      <c r="H2" s="3" t="s">
        <v>1</v>
      </c>
      <c r="I2" s="45" t="s">
        <v>86</v>
      </c>
      <c r="J2" s="170"/>
      <c r="K2" s="170"/>
    </row>
    <row r="3" spans="1:12" ht="15" x14ac:dyDescent="0.2">
      <c r="A3" s="6" t="s">
        <v>3</v>
      </c>
      <c r="B3" s="179"/>
      <c r="C3" s="180"/>
      <c r="D3" s="180"/>
      <c r="E3" s="180"/>
      <c r="F3" s="181"/>
      <c r="G3" s="46" t="s">
        <v>4</v>
      </c>
      <c r="H3" s="182">
        <v>45152</v>
      </c>
      <c r="I3" s="183"/>
      <c r="J3" s="53" t="s">
        <v>65</v>
      </c>
      <c r="K3" s="53"/>
    </row>
    <row r="4" spans="1:12" ht="15" x14ac:dyDescent="0.2">
      <c r="A4" s="6" t="s">
        <v>5</v>
      </c>
      <c r="B4" s="189" t="s">
        <v>87</v>
      </c>
      <c r="C4" s="190"/>
      <c r="D4" s="190"/>
      <c r="E4" s="190"/>
      <c r="F4" s="191"/>
      <c r="G4" s="6" t="s">
        <v>7</v>
      </c>
      <c r="H4" s="192" t="s">
        <v>78</v>
      </c>
      <c r="I4" s="192"/>
      <c r="J4" s="54"/>
      <c r="K4" s="54"/>
    </row>
    <row r="5" spans="1:12" ht="15" x14ac:dyDescent="0.2">
      <c r="A5" s="150" t="s">
        <v>9</v>
      </c>
      <c r="B5" s="151" t="s">
        <v>10</v>
      </c>
      <c r="C5" s="152" t="s">
        <v>11</v>
      </c>
      <c r="D5" s="152"/>
      <c r="E5" s="152"/>
      <c r="F5" s="152"/>
      <c r="G5" s="6" t="s">
        <v>12</v>
      </c>
      <c r="H5" s="6" t="s">
        <v>13</v>
      </c>
      <c r="I5" s="6" t="s">
        <v>14</v>
      </c>
      <c r="J5" s="54"/>
      <c r="K5" s="54"/>
    </row>
    <row r="6" spans="1:12" ht="15.75" x14ac:dyDescent="0.2">
      <c r="A6" s="150"/>
      <c r="B6" s="150"/>
      <c r="C6" s="152"/>
      <c r="D6" s="152"/>
      <c r="E6" s="152"/>
      <c r="F6" s="152"/>
      <c r="G6" s="6" t="s">
        <v>15</v>
      </c>
      <c r="H6" s="7" t="s">
        <v>16</v>
      </c>
      <c r="I6" s="7" t="s">
        <v>17</v>
      </c>
      <c r="J6" s="54"/>
      <c r="K6" s="54"/>
    </row>
    <row r="7" spans="1:12" ht="15.75" x14ac:dyDescent="0.2">
      <c r="A7" s="46">
        <v>1</v>
      </c>
      <c r="B7" s="47" t="s">
        <v>19</v>
      </c>
      <c r="C7" s="153" t="s">
        <v>88</v>
      </c>
      <c r="D7" s="154"/>
      <c r="E7" s="154"/>
      <c r="F7" s="155"/>
      <c r="G7" s="48">
        <f>0.254^2*26*0.7854*8.89/10*2*1.015*1.015</f>
        <v>2.4132122391800621</v>
      </c>
      <c r="H7" s="63">
        <f>(J7+1300)/1.13/1000+1.02</f>
        <v>64.117345132743367</v>
      </c>
      <c r="I7" s="11">
        <f>G7*H7</f>
        <v>154.72876201806847</v>
      </c>
      <c r="J7" s="55">
        <v>70000</v>
      </c>
      <c r="K7" s="53"/>
    </row>
    <row r="8" spans="1:12" ht="15.75" x14ac:dyDescent="0.2">
      <c r="A8" s="46"/>
      <c r="B8" s="47" t="s">
        <v>19</v>
      </c>
      <c r="C8" s="153" t="s">
        <v>89</v>
      </c>
      <c r="D8" s="154"/>
      <c r="E8" s="154"/>
      <c r="F8" s="155"/>
      <c r="G8" s="48">
        <f>0.157^2*7*0.7854*8.89/10*1*1.015*1.015</f>
        <v>0.12411437573769578</v>
      </c>
      <c r="H8" s="63">
        <f>(J7+1300)/1.13/1000+1.56</f>
        <v>64.657345132743373</v>
      </c>
      <c r="I8" s="11">
        <f>G8*H8</f>
        <v>8.0249060280071856</v>
      </c>
    </row>
    <row r="9" spans="1:12" ht="15.75" x14ac:dyDescent="0.2">
      <c r="A9" s="46">
        <v>2</v>
      </c>
      <c r="B9" s="47" t="s">
        <v>21</v>
      </c>
      <c r="C9" s="153" t="s">
        <v>81</v>
      </c>
      <c r="D9" s="154"/>
      <c r="E9" s="154"/>
      <c r="F9" s="155"/>
      <c r="G9" s="48">
        <f>(2.1^2-1.48^2*0.85)*0.7854*1.47/10*2*1.015</f>
        <v>0.59721535266624004</v>
      </c>
      <c r="H9" s="64">
        <f>7.72+0.3</f>
        <v>8.02</v>
      </c>
      <c r="I9" s="11">
        <f>G9*H9</f>
        <v>4.789667128383245</v>
      </c>
      <c r="J9" t="s">
        <v>85</v>
      </c>
    </row>
    <row r="10" spans="1:12" ht="15.75" x14ac:dyDescent="0.2">
      <c r="A10" s="46"/>
      <c r="B10" s="47" t="s">
        <v>21</v>
      </c>
      <c r="C10" s="153" t="s">
        <v>82</v>
      </c>
      <c r="D10" s="154"/>
      <c r="E10" s="154"/>
      <c r="F10" s="155"/>
      <c r="G10" s="48">
        <f>(1^2-0.46^2*0.85)*0.7854*1.47/10*1*1.015</f>
        <v>9.6108603724979993E-2</v>
      </c>
      <c r="H10" s="64">
        <f>7.72+0.3</f>
        <v>8.02</v>
      </c>
      <c r="I10" s="11">
        <f>G10*H10</f>
        <v>0.77079100187433947</v>
      </c>
    </row>
    <row r="11" spans="1:12" ht="15.75" x14ac:dyDescent="0.2">
      <c r="A11" s="46">
        <v>3</v>
      </c>
      <c r="B11" s="46" t="s">
        <v>23</v>
      </c>
      <c r="C11" s="153" t="s">
        <v>83</v>
      </c>
      <c r="D11" s="154"/>
      <c r="E11" s="154"/>
      <c r="F11" s="155"/>
      <c r="G11" s="48">
        <f>(6.05^2-2.1^2*2-1^2)*0.7854*1.43/10</f>
        <v>3.0080014964999995</v>
      </c>
      <c r="H11" s="64">
        <f>9.21+0.3</f>
        <v>9.5100000000000016</v>
      </c>
      <c r="I11" s="11">
        <f>G11*H11</f>
        <v>28.606094231715002</v>
      </c>
    </row>
    <row r="12" spans="1:12" ht="15.75" x14ac:dyDescent="0.2">
      <c r="A12" s="12" t="s">
        <v>25</v>
      </c>
      <c r="B12" s="13">
        <f>I12/100</f>
        <v>1.9692022040804824</v>
      </c>
      <c r="C12" s="156" t="s">
        <v>26</v>
      </c>
      <c r="D12" s="156"/>
      <c r="E12" s="156"/>
      <c r="F12" s="156"/>
      <c r="G12" s="14">
        <f>SUM(G7:G11)/100</f>
        <v>6.2386520678089773E-2</v>
      </c>
      <c r="H12" s="15" t="s">
        <v>27</v>
      </c>
      <c r="I12" s="16">
        <f>SUM(I7:I11)</f>
        <v>196.92022040804824</v>
      </c>
      <c r="J12" s="56">
        <f>B12*1.13/I25</f>
        <v>0.81177661271405011</v>
      </c>
      <c r="K12" s="57">
        <f>G12*G23</f>
        <v>1247.7304135617956</v>
      </c>
    </row>
    <row r="13" spans="1:12" ht="36" x14ac:dyDescent="0.2">
      <c r="A13" s="17" t="s">
        <v>10</v>
      </c>
      <c r="B13" s="18" t="s">
        <v>28</v>
      </c>
      <c r="C13" s="17" t="s">
        <v>29</v>
      </c>
      <c r="D13" s="17" t="s">
        <v>30</v>
      </c>
      <c r="E13" s="17" t="s">
        <v>31</v>
      </c>
      <c r="F13" s="18" t="s">
        <v>32</v>
      </c>
      <c r="G13" s="18" t="s">
        <v>33</v>
      </c>
      <c r="H13" s="19" t="s">
        <v>34</v>
      </c>
      <c r="I13" s="17" t="s">
        <v>35</v>
      </c>
    </row>
    <row r="14" spans="1:12" ht="15.75" x14ac:dyDescent="0.2">
      <c r="A14" s="46" t="s">
        <v>19</v>
      </c>
      <c r="B14" s="68">
        <f>0.24*2</f>
        <v>0.48</v>
      </c>
      <c r="C14" s="20">
        <v>0</v>
      </c>
      <c r="D14" s="21">
        <v>10</v>
      </c>
      <c r="E14" s="69">
        <f>B14*D14*G23/1000+C14*D14*G21</f>
        <v>96</v>
      </c>
      <c r="F14" s="22">
        <v>1</v>
      </c>
      <c r="G14" s="81">
        <v>0</v>
      </c>
      <c r="H14" s="24">
        <f>F14*I7</f>
        <v>154.72876201806847</v>
      </c>
      <c r="I14" s="25">
        <f>E14+H14*G21</f>
        <v>250.72876201806847</v>
      </c>
    </row>
    <row r="15" spans="1:12" ht="15.75" x14ac:dyDescent="0.2">
      <c r="A15" s="46" t="s">
        <v>19</v>
      </c>
      <c r="B15" s="68">
        <f>0.4</f>
        <v>0.4</v>
      </c>
      <c r="C15" s="20">
        <v>0</v>
      </c>
      <c r="D15" s="21">
        <v>10</v>
      </c>
      <c r="E15" s="69">
        <f>B15*D15*G23/1000+C15*D15*G21</f>
        <v>80</v>
      </c>
      <c r="F15" s="22">
        <v>1</v>
      </c>
      <c r="G15" s="81">
        <v>0</v>
      </c>
      <c r="H15" s="24">
        <f>F15*I8</f>
        <v>8.0249060280071856</v>
      </c>
      <c r="I15" s="25">
        <f>E15+H15*G21</f>
        <v>88.02490602800718</v>
      </c>
    </row>
    <row r="16" spans="1:12" ht="15.75" x14ac:dyDescent="0.2">
      <c r="A16" s="46" t="s">
        <v>21</v>
      </c>
      <c r="B16" s="68">
        <f>1000/60/180*2</f>
        <v>0.1851851851851852</v>
      </c>
      <c r="C16" s="20">
        <v>0</v>
      </c>
      <c r="D16" s="21">
        <v>120</v>
      </c>
      <c r="E16" s="69">
        <f>B16*D16*G23/1000+C16*D16*G21</f>
        <v>444.44444444444451</v>
      </c>
      <c r="F16" s="22">
        <v>1.5</v>
      </c>
      <c r="G16" s="27">
        <v>2</v>
      </c>
      <c r="H16" s="24">
        <f>F16*(I9+I7)+G16*H9</f>
        <v>255.31764371967759</v>
      </c>
      <c r="I16" s="25">
        <f>E16+H16*G21</f>
        <v>699.76208816412213</v>
      </c>
    </row>
    <row r="17" spans="1:11" ht="15.75" x14ac:dyDescent="0.2">
      <c r="A17" s="46" t="s">
        <v>21</v>
      </c>
      <c r="B17" s="68">
        <f>1000/60/250</f>
        <v>6.6666666666666666E-2</v>
      </c>
      <c r="C17" s="20">
        <v>0</v>
      </c>
      <c r="D17" s="21">
        <v>120</v>
      </c>
      <c r="E17" s="69">
        <f>B17*D17*G23/1000+C17*D17*G21</f>
        <v>160</v>
      </c>
      <c r="F17" s="22">
        <v>1.5</v>
      </c>
      <c r="G17" s="27">
        <v>2</v>
      </c>
      <c r="H17" s="24">
        <f>F17*(I10+I8)+G17*H10</f>
        <v>29.233545544822288</v>
      </c>
      <c r="I17" s="25">
        <f>E17+H17*G21</f>
        <v>189.23354554482228</v>
      </c>
    </row>
    <row r="18" spans="1:11" ht="15.75" x14ac:dyDescent="0.2">
      <c r="A18" s="46" t="s">
        <v>36</v>
      </c>
      <c r="B18" s="68">
        <f>1000/60/30</f>
        <v>0.55555555555555558</v>
      </c>
      <c r="C18" s="20">
        <v>0</v>
      </c>
      <c r="D18" s="21">
        <v>40</v>
      </c>
      <c r="E18" s="69">
        <f>B18*D18*G23/1000+C18*D18*G21</f>
        <v>444.44444444444446</v>
      </c>
      <c r="F18" s="22">
        <v>0.2</v>
      </c>
      <c r="G18" s="27">
        <v>0</v>
      </c>
      <c r="H18" s="24">
        <f>F18*(I9+I7+I8+I10)</f>
        <v>33.662825235266652</v>
      </c>
      <c r="I18" s="25">
        <f>E18+H18*G21</f>
        <v>478.10726967971112</v>
      </c>
    </row>
    <row r="19" spans="1:11" ht="15.75" x14ac:dyDescent="0.2">
      <c r="A19" s="46" t="s">
        <v>23</v>
      </c>
      <c r="B19" s="68">
        <f>1000/60/40</f>
        <v>0.41666666666666669</v>
      </c>
      <c r="C19" s="20">
        <v>0</v>
      </c>
      <c r="D19" s="21">
        <v>140</v>
      </c>
      <c r="E19" s="69">
        <f>B19*D19*G23/1000+C19*D19*G21</f>
        <v>1166.6666666666667</v>
      </c>
      <c r="F19" s="22">
        <v>1</v>
      </c>
      <c r="G19" s="27">
        <v>10</v>
      </c>
      <c r="H19" s="24">
        <f>F19*I12+G19*H11</f>
        <v>292.02022040804826</v>
      </c>
      <c r="I19" s="25">
        <f>E19+H19*G21</f>
        <v>1458.6868870747151</v>
      </c>
    </row>
    <row r="20" spans="1:11" ht="24" x14ac:dyDescent="0.2">
      <c r="A20" s="157" t="s">
        <v>37</v>
      </c>
      <c r="B20" s="158"/>
      <c r="C20" s="28" t="s">
        <v>38</v>
      </c>
      <c r="D20" s="28" t="s">
        <v>39</v>
      </c>
      <c r="E20" s="28" t="s">
        <v>40</v>
      </c>
      <c r="F20" s="29" t="s">
        <v>41</v>
      </c>
      <c r="G20" s="30" t="s">
        <v>42</v>
      </c>
      <c r="H20" s="31" t="s">
        <v>43</v>
      </c>
      <c r="I20" s="32">
        <f>SUM(I14:I19)</f>
        <v>3164.5434585094463</v>
      </c>
    </row>
    <row r="21" spans="1:11" ht="15" x14ac:dyDescent="0.2">
      <c r="A21" s="159"/>
      <c r="B21" s="160"/>
      <c r="C21" s="58">
        <f>0.0074/3</f>
        <v>2.4666666666666669E-3</v>
      </c>
      <c r="D21" s="58">
        <v>0.85</v>
      </c>
      <c r="E21" s="33">
        <v>1.2999999999999999E-2</v>
      </c>
      <c r="F21" s="34">
        <v>2.5000000000000001E-2</v>
      </c>
      <c r="G21" s="35">
        <v>1</v>
      </c>
      <c r="H21" s="163" t="s">
        <v>44</v>
      </c>
      <c r="I21" s="143" t="s">
        <v>45</v>
      </c>
    </row>
    <row r="22" spans="1:11" ht="24" x14ac:dyDescent="0.2">
      <c r="A22" s="159"/>
      <c r="B22" s="160"/>
      <c r="C22" s="30" t="s">
        <v>37</v>
      </c>
      <c r="D22" s="36" t="s">
        <v>46</v>
      </c>
      <c r="E22" s="28" t="s">
        <v>47</v>
      </c>
      <c r="F22" s="31" t="s">
        <v>48</v>
      </c>
      <c r="G22" s="37" t="s">
        <v>49</v>
      </c>
      <c r="H22" s="163"/>
      <c r="I22" s="144"/>
    </row>
    <row r="23" spans="1:11" ht="18.75" x14ac:dyDescent="0.2">
      <c r="A23" s="159"/>
      <c r="B23" s="160"/>
      <c r="C23" s="76">
        <f>200/50000*G23</f>
        <v>80</v>
      </c>
      <c r="D23" s="82">
        <v>0.06</v>
      </c>
      <c r="E23" s="38">
        <v>0</v>
      </c>
      <c r="F23" s="59">
        <v>0.13</v>
      </c>
      <c r="G23" s="75">
        <v>20000</v>
      </c>
      <c r="H23" s="39">
        <f>I20/G23+B12+B12*F21</f>
        <v>2.1766594321079666</v>
      </c>
      <c r="I23" s="65">
        <f>(H23/(1-D23)+C21+E21+E23/G23+C23/G23+C25*D25+D21*G12)*(1+F23)*(1+E25+F25)</f>
        <v>2.7174318899220657</v>
      </c>
    </row>
    <row r="24" spans="1:11" x14ac:dyDescent="0.2">
      <c r="A24" s="159"/>
      <c r="B24" s="160"/>
      <c r="C24" s="29" t="s">
        <v>50</v>
      </c>
      <c r="D24" s="29" t="s">
        <v>51</v>
      </c>
      <c r="E24" s="60" t="s">
        <v>52</v>
      </c>
      <c r="F24" s="60" t="s">
        <v>53</v>
      </c>
      <c r="G24" s="60" t="s">
        <v>54</v>
      </c>
      <c r="H24" s="40" t="s">
        <v>55</v>
      </c>
      <c r="I24" s="66" t="s">
        <v>56</v>
      </c>
      <c r="J24" s="84" t="s">
        <v>90</v>
      </c>
    </row>
    <row r="25" spans="1:11" ht="18.75" x14ac:dyDescent="0.2">
      <c r="A25" s="161"/>
      <c r="B25" s="162"/>
      <c r="C25" s="41">
        <v>0</v>
      </c>
      <c r="D25" s="42">
        <v>0</v>
      </c>
      <c r="E25" s="61">
        <v>7.0000000000000001E-3</v>
      </c>
      <c r="F25" s="61">
        <v>0</v>
      </c>
      <c r="G25" s="62">
        <v>0.15</v>
      </c>
      <c r="H25" s="39">
        <f>(H23+C21+E21+E23/G23+C23/G23+C25*D25+D21*G12)*(1+F23)*(1+E25+F25)</f>
        <v>2.5593355579397268</v>
      </c>
      <c r="I25" s="65">
        <f>I23+(I23-H25)*G25</f>
        <v>2.7411463397194167</v>
      </c>
      <c r="J25" s="83">
        <v>2.8309812557882719</v>
      </c>
      <c r="K25" s="56">
        <f>I25/J25-1</f>
        <v>-3.1732783777772222E-2</v>
      </c>
    </row>
  </sheetData>
  <mergeCells count="18">
    <mergeCell ref="J1:K2"/>
    <mergeCell ref="C7:F7"/>
    <mergeCell ref="C8:F8"/>
    <mergeCell ref="C9:F9"/>
    <mergeCell ref="C10:F10"/>
    <mergeCell ref="A1:I1"/>
    <mergeCell ref="B3:F3"/>
    <mergeCell ref="H3:I3"/>
    <mergeCell ref="B4:F4"/>
    <mergeCell ref="H4:I4"/>
    <mergeCell ref="A5:A6"/>
    <mergeCell ref="B5:B6"/>
    <mergeCell ref="C5:F6"/>
    <mergeCell ref="A20:B25"/>
    <mergeCell ref="H21:H22"/>
    <mergeCell ref="I21:I22"/>
    <mergeCell ref="C11:F11"/>
    <mergeCell ref="C12:F12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29C9-7D9D-4D24-887D-F14D6F861FC5}">
  <dimension ref="A1:M50"/>
  <sheetViews>
    <sheetView workbookViewId="0">
      <selection activeCell="S17" sqref="S17"/>
    </sheetView>
  </sheetViews>
  <sheetFormatPr defaultRowHeight="14.25" x14ac:dyDescent="0.2"/>
  <cols>
    <col min="1" max="1" width="8.5" style="85" bestFit="1" customWidth="1"/>
    <col min="2" max="2" width="10.5" style="85" bestFit="1" customWidth="1"/>
    <col min="3" max="3" width="11.75" style="85" bestFit="1" customWidth="1"/>
    <col min="4" max="4" width="13.5" style="85" customWidth="1"/>
    <col min="5" max="5" width="11.375" style="85" customWidth="1"/>
    <col min="6" max="6" width="10.25" style="85" bestFit="1" customWidth="1"/>
    <col min="7" max="7" width="11.625" style="85" bestFit="1" customWidth="1"/>
    <col min="8" max="8" width="18" style="85" bestFit="1" customWidth="1"/>
    <col min="9" max="9" width="17.5" style="85" bestFit="1" customWidth="1"/>
    <col min="10" max="256" width="9" style="85"/>
    <col min="257" max="257" width="8.5" style="85" bestFit="1" customWidth="1"/>
    <col min="258" max="258" width="10.5" style="85" bestFit="1" customWidth="1"/>
    <col min="259" max="259" width="11.75" style="85" bestFit="1" customWidth="1"/>
    <col min="260" max="260" width="13.5" style="85" customWidth="1"/>
    <col min="261" max="261" width="11.375" style="85" customWidth="1"/>
    <col min="262" max="262" width="10.25" style="85" bestFit="1" customWidth="1"/>
    <col min="263" max="263" width="11.625" style="85" bestFit="1" customWidth="1"/>
    <col min="264" max="264" width="18" style="85" bestFit="1" customWidth="1"/>
    <col min="265" max="265" width="17.5" style="85" bestFit="1" customWidth="1"/>
    <col min="266" max="512" width="9" style="85"/>
    <col min="513" max="513" width="8.5" style="85" bestFit="1" customWidth="1"/>
    <col min="514" max="514" width="10.5" style="85" bestFit="1" customWidth="1"/>
    <col min="515" max="515" width="11.75" style="85" bestFit="1" customWidth="1"/>
    <col min="516" max="516" width="13.5" style="85" customWidth="1"/>
    <col min="517" max="517" width="11.375" style="85" customWidth="1"/>
    <col min="518" max="518" width="10.25" style="85" bestFit="1" customWidth="1"/>
    <col min="519" max="519" width="11.625" style="85" bestFit="1" customWidth="1"/>
    <col min="520" max="520" width="18" style="85" bestFit="1" customWidth="1"/>
    <col min="521" max="521" width="17.5" style="85" bestFit="1" customWidth="1"/>
    <col min="522" max="768" width="9" style="85"/>
    <col min="769" max="769" width="8.5" style="85" bestFit="1" customWidth="1"/>
    <col min="770" max="770" width="10.5" style="85" bestFit="1" customWidth="1"/>
    <col min="771" max="771" width="11.75" style="85" bestFit="1" customWidth="1"/>
    <col min="772" max="772" width="13.5" style="85" customWidth="1"/>
    <col min="773" max="773" width="11.375" style="85" customWidth="1"/>
    <col min="774" max="774" width="10.25" style="85" bestFit="1" customWidth="1"/>
    <col min="775" max="775" width="11.625" style="85" bestFit="1" customWidth="1"/>
    <col min="776" max="776" width="18" style="85" bestFit="1" customWidth="1"/>
    <col min="777" max="777" width="17.5" style="85" bestFit="1" customWidth="1"/>
    <col min="778" max="1024" width="9" style="85"/>
    <col min="1025" max="1025" width="8.5" style="85" bestFit="1" customWidth="1"/>
    <col min="1026" max="1026" width="10.5" style="85" bestFit="1" customWidth="1"/>
    <col min="1027" max="1027" width="11.75" style="85" bestFit="1" customWidth="1"/>
    <col min="1028" max="1028" width="13.5" style="85" customWidth="1"/>
    <col min="1029" max="1029" width="11.375" style="85" customWidth="1"/>
    <col min="1030" max="1030" width="10.25" style="85" bestFit="1" customWidth="1"/>
    <col min="1031" max="1031" width="11.625" style="85" bestFit="1" customWidth="1"/>
    <col min="1032" max="1032" width="18" style="85" bestFit="1" customWidth="1"/>
    <col min="1033" max="1033" width="17.5" style="85" bestFit="1" customWidth="1"/>
    <col min="1034" max="1280" width="9" style="85"/>
    <col min="1281" max="1281" width="8.5" style="85" bestFit="1" customWidth="1"/>
    <col min="1282" max="1282" width="10.5" style="85" bestFit="1" customWidth="1"/>
    <col min="1283" max="1283" width="11.75" style="85" bestFit="1" customWidth="1"/>
    <col min="1284" max="1284" width="13.5" style="85" customWidth="1"/>
    <col min="1285" max="1285" width="11.375" style="85" customWidth="1"/>
    <col min="1286" max="1286" width="10.25" style="85" bestFit="1" customWidth="1"/>
    <col min="1287" max="1287" width="11.625" style="85" bestFit="1" customWidth="1"/>
    <col min="1288" max="1288" width="18" style="85" bestFit="1" customWidth="1"/>
    <col min="1289" max="1289" width="17.5" style="85" bestFit="1" customWidth="1"/>
    <col min="1290" max="1536" width="9" style="85"/>
    <col min="1537" max="1537" width="8.5" style="85" bestFit="1" customWidth="1"/>
    <col min="1538" max="1538" width="10.5" style="85" bestFit="1" customWidth="1"/>
    <col min="1539" max="1539" width="11.75" style="85" bestFit="1" customWidth="1"/>
    <col min="1540" max="1540" width="13.5" style="85" customWidth="1"/>
    <col min="1541" max="1541" width="11.375" style="85" customWidth="1"/>
    <col min="1542" max="1542" width="10.25" style="85" bestFit="1" customWidth="1"/>
    <col min="1543" max="1543" width="11.625" style="85" bestFit="1" customWidth="1"/>
    <col min="1544" max="1544" width="18" style="85" bestFit="1" customWidth="1"/>
    <col min="1545" max="1545" width="17.5" style="85" bestFit="1" customWidth="1"/>
    <col min="1546" max="1792" width="9" style="85"/>
    <col min="1793" max="1793" width="8.5" style="85" bestFit="1" customWidth="1"/>
    <col min="1794" max="1794" width="10.5" style="85" bestFit="1" customWidth="1"/>
    <col min="1795" max="1795" width="11.75" style="85" bestFit="1" customWidth="1"/>
    <col min="1796" max="1796" width="13.5" style="85" customWidth="1"/>
    <col min="1797" max="1797" width="11.375" style="85" customWidth="1"/>
    <col min="1798" max="1798" width="10.25" style="85" bestFit="1" customWidth="1"/>
    <col min="1799" max="1799" width="11.625" style="85" bestFit="1" customWidth="1"/>
    <col min="1800" max="1800" width="18" style="85" bestFit="1" customWidth="1"/>
    <col min="1801" max="1801" width="17.5" style="85" bestFit="1" customWidth="1"/>
    <col min="1802" max="2048" width="9" style="85"/>
    <col min="2049" max="2049" width="8.5" style="85" bestFit="1" customWidth="1"/>
    <col min="2050" max="2050" width="10.5" style="85" bestFit="1" customWidth="1"/>
    <col min="2051" max="2051" width="11.75" style="85" bestFit="1" customWidth="1"/>
    <col min="2052" max="2052" width="13.5" style="85" customWidth="1"/>
    <col min="2053" max="2053" width="11.375" style="85" customWidth="1"/>
    <col min="2054" max="2054" width="10.25" style="85" bestFit="1" customWidth="1"/>
    <col min="2055" max="2055" width="11.625" style="85" bestFit="1" customWidth="1"/>
    <col min="2056" max="2056" width="18" style="85" bestFit="1" customWidth="1"/>
    <col min="2057" max="2057" width="17.5" style="85" bestFit="1" customWidth="1"/>
    <col min="2058" max="2304" width="9" style="85"/>
    <col min="2305" max="2305" width="8.5" style="85" bestFit="1" customWidth="1"/>
    <col min="2306" max="2306" width="10.5" style="85" bestFit="1" customWidth="1"/>
    <col min="2307" max="2307" width="11.75" style="85" bestFit="1" customWidth="1"/>
    <col min="2308" max="2308" width="13.5" style="85" customWidth="1"/>
    <col min="2309" max="2309" width="11.375" style="85" customWidth="1"/>
    <col min="2310" max="2310" width="10.25" style="85" bestFit="1" customWidth="1"/>
    <col min="2311" max="2311" width="11.625" style="85" bestFit="1" customWidth="1"/>
    <col min="2312" max="2312" width="18" style="85" bestFit="1" customWidth="1"/>
    <col min="2313" max="2313" width="17.5" style="85" bestFit="1" customWidth="1"/>
    <col min="2314" max="2560" width="9" style="85"/>
    <col min="2561" max="2561" width="8.5" style="85" bestFit="1" customWidth="1"/>
    <col min="2562" max="2562" width="10.5" style="85" bestFit="1" customWidth="1"/>
    <col min="2563" max="2563" width="11.75" style="85" bestFit="1" customWidth="1"/>
    <col min="2564" max="2564" width="13.5" style="85" customWidth="1"/>
    <col min="2565" max="2565" width="11.375" style="85" customWidth="1"/>
    <col min="2566" max="2566" width="10.25" style="85" bestFit="1" customWidth="1"/>
    <col min="2567" max="2567" width="11.625" style="85" bestFit="1" customWidth="1"/>
    <col min="2568" max="2568" width="18" style="85" bestFit="1" customWidth="1"/>
    <col min="2569" max="2569" width="17.5" style="85" bestFit="1" customWidth="1"/>
    <col min="2570" max="2816" width="9" style="85"/>
    <col min="2817" max="2817" width="8.5" style="85" bestFit="1" customWidth="1"/>
    <col min="2818" max="2818" width="10.5" style="85" bestFit="1" customWidth="1"/>
    <col min="2819" max="2819" width="11.75" style="85" bestFit="1" customWidth="1"/>
    <col min="2820" max="2820" width="13.5" style="85" customWidth="1"/>
    <col min="2821" max="2821" width="11.375" style="85" customWidth="1"/>
    <col min="2822" max="2822" width="10.25" style="85" bestFit="1" customWidth="1"/>
    <col min="2823" max="2823" width="11.625" style="85" bestFit="1" customWidth="1"/>
    <col min="2824" max="2824" width="18" style="85" bestFit="1" customWidth="1"/>
    <col min="2825" max="2825" width="17.5" style="85" bestFit="1" customWidth="1"/>
    <col min="2826" max="3072" width="9" style="85"/>
    <col min="3073" max="3073" width="8.5" style="85" bestFit="1" customWidth="1"/>
    <col min="3074" max="3074" width="10.5" style="85" bestFit="1" customWidth="1"/>
    <col min="3075" max="3075" width="11.75" style="85" bestFit="1" customWidth="1"/>
    <col min="3076" max="3076" width="13.5" style="85" customWidth="1"/>
    <col min="3077" max="3077" width="11.375" style="85" customWidth="1"/>
    <col min="3078" max="3078" width="10.25" style="85" bestFit="1" customWidth="1"/>
    <col min="3079" max="3079" width="11.625" style="85" bestFit="1" customWidth="1"/>
    <col min="3080" max="3080" width="18" style="85" bestFit="1" customWidth="1"/>
    <col min="3081" max="3081" width="17.5" style="85" bestFit="1" customWidth="1"/>
    <col min="3082" max="3328" width="9" style="85"/>
    <col min="3329" max="3329" width="8.5" style="85" bestFit="1" customWidth="1"/>
    <col min="3330" max="3330" width="10.5" style="85" bestFit="1" customWidth="1"/>
    <col min="3331" max="3331" width="11.75" style="85" bestFit="1" customWidth="1"/>
    <col min="3332" max="3332" width="13.5" style="85" customWidth="1"/>
    <col min="3333" max="3333" width="11.375" style="85" customWidth="1"/>
    <col min="3334" max="3334" width="10.25" style="85" bestFit="1" customWidth="1"/>
    <col min="3335" max="3335" width="11.625" style="85" bestFit="1" customWidth="1"/>
    <col min="3336" max="3336" width="18" style="85" bestFit="1" customWidth="1"/>
    <col min="3337" max="3337" width="17.5" style="85" bestFit="1" customWidth="1"/>
    <col min="3338" max="3584" width="9" style="85"/>
    <col min="3585" max="3585" width="8.5" style="85" bestFit="1" customWidth="1"/>
    <col min="3586" max="3586" width="10.5" style="85" bestFit="1" customWidth="1"/>
    <col min="3587" max="3587" width="11.75" style="85" bestFit="1" customWidth="1"/>
    <col min="3588" max="3588" width="13.5" style="85" customWidth="1"/>
    <col min="3589" max="3589" width="11.375" style="85" customWidth="1"/>
    <col min="3590" max="3590" width="10.25" style="85" bestFit="1" customWidth="1"/>
    <col min="3591" max="3591" width="11.625" style="85" bestFit="1" customWidth="1"/>
    <col min="3592" max="3592" width="18" style="85" bestFit="1" customWidth="1"/>
    <col min="3593" max="3593" width="17.5" style="85" bestFit="1" customWidth="1"/>
    <col min="3594" max="3840" width="9" style="85"/>
    <col min="3841" max="3841" width="8.5" style="85" bestFit="1" customWidth="1"/>
    <col min="3842" max="3842" width="10.5" style="85" bestFit="1" customWidth="1"/>
    <col min="3843" max="3843" width="11.75" style="85" bestFit="1" customWidth="1"/>
    <col min="3844" max="3844" width="13.5" style="85" customWidth="1"/>
    <col min="3845" max="3845" width="11.375" style="85" customWidth="1"/>
    <col min="3846" max="3846" width="10.25" style="85" bestFit="1" customWidth="1"/>
    <col min="3847" max="3847" width="11.625" style="85" bestFit="1" customWidth="1"/>
    <col min="3848" max="3848" width="18" style="85" bestFit="1" customWidth="1"/>
    <col min="3849" max="3849" width="17.5" style="85" bestFit="1" customWidth="1"/>
    <col min="3850" max="4096" width="9" style="85"/>
    <col min="4097" max="4097" width="8.5" style="85" bestFit="1" customWidth="1"/>
    <col min="4098" max="4098" width="10.5" style="85" bestFit="1" customWidth="1"/>
    <col min="4099" max="4099" width="11.75" style="85" bestFit="1" customWidth="1"/>
    <col min="4100" max="4100" width="13.5" style="85" customWidth="1"/>
    <col min="4101" max="4101" width="11.375" style="85" customWidth="1"/>
    <col min="4102" max="4102" width="10.25" style="85" bestFit="1" customWidth="1"/>
    <col min="4103" max="4103" width="11.625" style="85" bestFit="1" customWidth="1"/>
    <col min="4104" max="4104" width="18" style="85" bestFit="1" customWidth="1"/>
    <col min="4105" max="4105" width="17.5" style="85" bestFit="1" customWidth="1"/>
    <col min="4106" max="4352" width="9" style="85"/>
    <col min="4353" max="4353" width="8.5" style="85" bestFit="1" customWidth="1"/>
    <col min="4354" max="4354" width="10.5" style="85" bestFit="1" customWidth="1"/>
    <col min="4355" max="4355" width="11.75" style="85" bestFit="1" customWidth="1"/>
    <col min="4356" max="4356" width="13.5" style="85" customWidth="1"/>
    <col min="4357" max="4357" width="11.375" style="85" customWidth="1"/>
    <col min="4358" max="4358" width="10.25" style="85" bestFit="1" customWidth="1"/>
    <col min="4359" max="4359" width="11.625" style="85" bestFit="1" customWidth="1"/>
    <col min="4360" max="4360" width="18" style="85" bestFit="1" customWidth="1"/>
    <col min="4361" max="4361" width="17.5" style="85" bestFit="1" customWidth="1"/>
    <col min="4362" max="4608" width="9" style="85"/>
    <col min="4609" max="4609" width="8.5" style="85" bestFit="1" customWidth="1"/>
    <col min="4610" max="4610" width="10.5" style="85" bestFit="1" customWidth="1"/>
    <col min="4611" max="4611" width="11.75" style="85" bestFit="1" customWidth="1"/>
    <col min="4612" max="4612" width="13.5" style="85" customWidth="1"/>
    <col min="4613" max="4613" width="11.375" style="85" customWidth="1"/>
    <col min="4614" max="4614" width="10.25" style="85" bestFit="1" customWidth="1"/>
    <col min="4615" max="4615" width="11.625" style="85" bestFit="1" customWidth="1"/>
    <col min="4616" max="4616" width="18" style="85" bestFit="1" customWidth="1"/>
    <col min="4617" max="4617" width="17.5" style="85" bestFit="1" customWidth="1"/>
    <col min="4618" max="4864" width="9" style="85"/>
    <col min="4865" max="4865" width="8.5" style="85" bestFit="1" customWidth="1"/>
    <col min="4866" max="4866" width="10.5" style="85" bestFit="1" customWidth="1"/>
    <col min="4867" max="4867" width="11.75" style="85" bestFit="1" customWidth="1"/>
    <col min="4868" max="4868" width="13.5" style="85" customWidth="1"/>
    <col min="4869" max="4869" width="11.375" style="85" customWidth="1"/>
    <col min="4870" max="4870" width="10.25" style="85" bestFit="1" customWidth="1"/>
    <col min="4871" max="4871" width="11.625" style="85" bestFit="1" customWidth="1"/>
    <col min="4872" max="4872" width="18" style="85" bestFit="1" customWidth="1"/>
    <col min="4873" max="4873" width="17.5" style="85" bestFit="1" customWidth="1"/>
    <col min="4874" max="5120" width="9" style="85"/>
    <col min="5121" max="5121" width="8.5" style="85" bestFit="1" customWidth="1"/>
    <col min="5122" max="5122" width="10.5" style="85" bestFit="1" customWidth="1"/>
    <col min="5123" max="5123" width="11.75" style="85" bestFit="1" customWidth="1"/>
    <col min="5124" max="5124" width="13.5" style="85" customWidth="1"/>
    <col min="5125" max="5125" width="11.375" style="85" customWidth="1"/>
    <col min="5126" max="5126" width="10.25" style="85" bestFit="1" customWidth="1"/>
    <col min="5127" max="5127" width="11.625" style="85" bestFit="1" customWidth="1"/>
    <col min="5128" max="5128" width="18" style="85" bestFit="1" customWidth="1"/>
    <col min="5129" max="5129" width="17.5" style="85" bestFit="1" customWidth="1"/>
    <col min="5130" max="5376" width="9" style="85"/>
    <col min="5377" max="5377" width="8.5" style="85" bestFit="1" customWidth="1"/>
    <col min="5378" max="5378" width="10.5" style="85" bestFit="1" customWidth="1"/>
    <col min="5379" max="5379" width="11.75" style="85" bestFit="1" customWidth="1"/>
    <col min="5380" max="5380" width="13.5" style="85" customWidth="1"/>
    <col min="5381" max="5381" width="11.375" style="85" customWidth="1"/>
    <col min="5382" max="5382" width="10.25" style="85" bestFit="1" customWidth="1"/>
    <col min="5383" max="5383" width="11.625" style="85" bestFit="1" customWidth="1"/>
    <col min="5384" max="5384" width="18" style="85" bestFit="1" customWidth="1"/>
    <col min="5385" max="5385" width="17.5" style="85" bestFit="1" customWidth="1"/>
    <col min="5386" max="5632" width="9" style="85"/>
    <col min="5633" max="5633" width="8.5" style="85" bestFit="1" customWidth="1"/>
    <col min="5634" max="5634" width="10.5" style="85" bestFit="1" customWidth="1"/>
    <col min="5635" max="5635" width="11.75" style="85" bestFit="1" customWidth="1"/>
    <col min="5636" max="5636" width="13.5" style="85" customWidth="1"/>
    <col min="5637" max="5637" width="11.375" style="85" customWidth="1"/>
    <col min="5638" max="5638" width="10.25" style="85" bestFit="1" customWidth="1"/>
    <col min="5639" max="5639" width="11.625" style="85" bestFit="1" customWidth="1"/>
    <col min="5640" max="5640" width="18" style="85" bestFit="1" customWidth="1"/>
    <col min="5641" max="5641" width="17.5" style="85" bestFit="1" customWidth="1"/>
    <col min="5642" max="5888" width="9" style="85"/>
    <col min="5889" max="5889" width="8.5" style="85" bestFit="1" customWidth="1"/>
    <col min="5890" max="5890" width="10.5" style="85" bestFit="1" customWidth="1"/>
    <col min="5891" max="5891" width="11.75" style="85" bestFit="1" customWidth="1"/>
    <col min="5892" max="5892" width="13.5" style="85" customWidth="1"/>
    <col min="5893" max="5893" width="11.375" style="85" customWidth="1"/>
    <col min="5894" max="5894" width="10.25" style="85" bestFit="1" customWidth="1"/>
    <col min="5895" max="5895" width="11.625" style="85" bestFit="1" customWidth="1"/>
    <col min="5896" max="5896" width="18" style="85" bestFit="1" customWidth="1"/>
    <col min="5897" max="5897" width="17.5" style="85" bestFit="1" customWidth="1"/>
    <col min="5898" max="6144" width="9" style="85"/>
    <col min="6145" max="6145" width="8.5" style="85" bestFit="1" customWidth="1"/>
    <col min="6146" max="6146" width="10.5" style="85" bestFit="1" customWidth="1"/>
    <col min="6147" max="6147" width="11.75" style="85" bestFit="1" customWidth="1"/>
    <col min="6148" max="6148" width="13.5" style="85" customWidth="1"/>
    <col min="6149" max="6149" width="11.375" style="85" customWidth="1"/>
    <col min="6150" max="6150" width="10.25" style="85" bestFit="1" customWidth="1"/>
    <col min="6151" max="6151" width="11.625" style="85" bestFit="1" customWidth="1"/>
    <col min="6152" max="6152" width="18" style="85" bestFit="1" customWidth="1"/>
    <col min="6153" max="6153" width="17.5" style="85" bestFit="1" customWidth="1"/>
    <col min="6154" max="6400" width="9" style="85"/>
    <col min="6401" max="6401" width="8.5" style="85" bestFit="1" customWidth="1"/>
    <col min="6402" max="6402" width="10.5" style="85" bestFit="1" customWidth="1"/>
    <col min="6403" max="6403" width="11.75" style="85" bestFit="1" customWidth="1"/>
    <col min="6404" max="6404" width="13.5" style="85" customWidth="1"/>
    <col min="6405" max="6405" width="11.375" style="85" customWidth="1"/>
    <col min="6406" max="6406" width="10.25" style="85" bestFit="1" customWidth="1"/>
    <col min="6407" max="6407" width="11.625" style="85" bestFit="1" customWidth="1"/>
    <col min="6408" max="6408" width="18" style="85" bestFit="1" customWidth="1"/>
    <col min="6409" max="6409" width="17.5" style="85" bestFit="1" customWidth="1"/>
    <col min="6410" max="6656" width="9" style="85"/>
    <col min="6657" max="6657" width="8.5" style="85" bestFit="1" customWidth="1"/>
    <col min="6658" max="6658" width="10.5" style="85" bestFit="1" customWidth="1"/>
    <col min="6659" max="6659" width="11.75" style="85" bestFit="1" customWidth="1"/>
    <col min="6660" max="6660" width="13.5" style="85" customWidth="1"/>
    <col min="6661" max="6661" width="11.375" style="85" customWidth="1"/>
    <col min="6662" max="6662" width="10.25" style="85" bestFit="1" customWidth="1"/>
    <col min="6663" max="6663" width="11.625" style="85" bestFit="1" customWidth="1"/>
    <col min="6664" max="6664" width="18" style="85" bestFit="1" customWidth="1"/>
    <col min="6665" max="6665" width="17.5" style="85" bestFit="1" customWidth="1"/>
    <col min="6666" max="6912" width="9" style="85"/>
    <col min="6913" max="6913" width="8.5" style="85" bestFit="1" customWidth="1"/>
    <col min="6914" max="6914" width="10.5" style="85" bestFit="1" customWidth="1"/>
    <col min="6915" max="6915" width="11.75" style="85" bestFit="1" customWidth="1"/>
    <col min="6916" max="6916" width="13.5" style="85" customWidth="1"/>
    <col min="6917" max="6917" width="11.375" style="85" customWidth="1"/>
    <col min="6918" max="6918" width="10.25" style="85" bestFit="1" customWidth="1"/>
    <col min="6919" max="6919" width="11.625" style="85" bestFit="1" customWidth="1"/>
    <col min="6920" max="6920" width="18" style="85" bestFit="1" customWidth="1"/>
    <col min="6921" max="6921" width="17.5" style="85" bestFit="1" customWidth="1"/>
    <col min="6922" max="7168" width="9" style="85"/>
    <col min="7169" max="7169" width="8.5" style="85" bestFit="1" customWidth="1"/>
    <col min="7170" max="7170" width="10.5" style="85" bestFit="1" customWidth="1"/>
    <col min="7171" max="7171" width="11.75" style="85" bestFit="1" customWidth="1"/>
    <col min="7172" max="7172" width="13.5" style="85" customWidth="1"/>
    <col min="7173" max="7173" width="11.375" style="85" customWidth="1"/>
    <col min="7174" max="7174" width="10.25" style="85" bestFit="1" customWidth="1"/>
    <col min="7175" max="7175" width="11.625" style="85" bestFit="1" customWidth="1"/>
    <col min="7176" max="7176" width="18" style="85" bestFit="1" customWidth="1"/>
    <col min="7177" max="7177" width="17.5" style="85" bestFit="1" customWidth="1"/>
    <col min="7178" max="7424" width="9" style="85"/>
    <col min="7425" max="7425" width="8.5" style="85" bestFit="1" customWidth="1"/>
    <col min="7426" max="7426" width="10.5" style="85" bestFit="1" customWidth="1"/>
    <col min="7427" max="7427" width="11.75" style="85" bestFit="1" customWidth="1"/>
    <col min="7428" max="7428" width="13.5" style="85" customWidth="1"/>
    <col min="7429" max="7429" width="11.375" style="85" customWidth="1"/>
    <col min="7430" max="7430" width="10.25" style="85" bestFit="1" customWidth="1"/>
    <col min="7431" max="7431" width="11.625" style="85" bestFit="1" customWidth="1"/>
    <col min="7432" max="7432" width="18" style="85" bestFit="1" customWidth="1"/>
    <col min="7433" max="7433" width="17.5" style="85" bestFit="1" customWidth="1"/>
    <col min="7434" max="7680" width="9" style="85"/>
    <col min="7681" max="7681" width="8.5" style="85" bestFit="1" customWidth="1"/>
    <col min="7682" max="7682" width="10.5" style="85" bestFit="1" customWidth="1"/>
    <col min="7683" max="7683" width="11.75" style="85" bestFit="1" customWidth="1"/>
    <col min="7684" max="7684" width="13.5" style="85" customWidth="1"/>
    <col min="7685" max="7685" width="11.375" style="85" customWidth="1"/>
    <col min="7686" max="7686" width="10.25" style="85" bestFit="1" customWidth="1"/>
    <col min="7687" max="7687" width="11.625" style="85" bestFit="1" customWidth="1"/>
    <col min="7688" max="7688" width="18" style="85" bestFit="1" customWidth="1"/>
    <col min="7689" max="7689" width="17.5" style="85" bestFit="1" customWidth="1"/>
    <col min="7690" max="7936" width="9" style="85"/>
    <col min="7937" max="7937" width="8.5" style="85" bestFit="1" customWidth="1"/>
    <col min="7938" max="7938" width="10.5" style="85" bestFit="1" customWidth="1"/>
    <col min="7939" max="7939" width="11.75" style="85" bestFit="1" customWidth="1"/>
    <col min="7940" max="7940" width="13.5" style="85" customWidth="1"/>
    <col min="7941" max="7941" width="11.375" style="85" customWidth="1"/>
    <col min="7942" max="7942" width="10.25" style="85" bestFit="1" customWidth="1"/>
    <col min="7943" max="7943" width="11.625" style="85" bestFit="1" customWidth="1"/>
    <col min="7944" max="7944" width="18" style="85" bestFit="1" customWidth="1"/>
    <col min="7945" max="7945" width="17.5" style="85" bestFit="1" customWidth="1"/>
    <col min="7946" max="8192" width="9" style="85"/>
    <col min="8193" max="8193" width="8.5" style="85" bestFit="1" customWidth="1"/>
    <col min="8194" max="8194" width="10.5" style="85" bestFit="1" customWidth="1"/>
    <col min="8195" max="8195" width="11.75" style="85" bestFit="1" customWidth="1"/>
    <col min="8196" max="8196" width="13.5" style="85" customWidth="1"/>
    <col min="8197" max="8197" width="11.375" style="85" customWidth="1"/>
    <col min="8198" max="8198" width="10.25" style="85" bestFit="1" customWidth="1"/>
    <col min="8199" max="8199" width="11.625" style="85" bestFit="1" customWidth="1"/>
    <col min="8200" max="8200" width="18" style="85" bestFit="1" customWidth="1"/>
    <col min="8201" max="8201" width="17.5" style="85" bestFit="1" customWidth="1"/>
    <col min="8202" max="8448" width="9" style="85"/>
    <col min="8449" max="8449" width="8.5" style="85" bestFit="1" customWidth="1"/>
    <col min="8450" max="8450" width="10.5" style="85" bestFit="1" customWidth="1"/>
    <col min="8451" max="8451" width="11.75" style="85" bestFit="1" customWidth="1"/>
    <col min="8452" max="8452" width="13.5" style="85" customWidth="1"/>
    <col min="8453" max="8453" width="11.375" style="85" customWidth="1"/>
    <col min="8454" max="8454" width="10.25" style="85" bestFit="1" customWidth="1"/>
    <col min="8455" max="8455" width="11.625" style="85" bestFit="1" customWidth="1"/>
    <col min="8456" max="8456" width="18" style="85" bestFit="1" customWidth="1"/>
    <col min="8457" max="8457" width="17.5" style="85" bestFit="1" customWidth="1"/>
    <col min="8458" max="8704" width="9" style="85"/>
    <col min="8705" max="8705" width="8.5" style="85" bestFit="1" customWidth="1"/>
    <col min="8706" max="8706" width="10.5" style="85" bestFit="1" customWidth="1"/>
    <col min="8707" max="8707" width="11.75" style="85" bestFit="1" customWidth="1"/>
    <col min="8708" max="8708" width="13.5" style="85" customWidth="1"/>
    <col min="8709" max="8709" width="11.375" style="85" customWidth="1"/>
    <col min="8710" max="8710" width="10.25" style="85" bestFit="1" customWidth="1"/>
    <col min="8711" max="8711" width="11.625" style="85" bestFit="1" customWidth="1"/>
    <col min="8712" max="8712" width="18" style="85" bestFit="1" customWidth="1"/>
    <col min="8713" max="8713" width="17.5" style="85" bestFit="1" customWidth="1"/>
    <col min="8714" max="8960" width="9" style="85"/>
    <col min="8961" max="8961" width="8.5" style="85" bestFit="1" customWidth="1"/>
    <col min="8962" max="8962" width="10.5" style="85" bestFit="1" customWidth="1"/>
    <col min="8963" max="8963" width="11.75" style="85" bestFit="1" customWidth="1"/>
    <col min="8964" max="8964" width="13.5" style="85" customWidth="1"/>
    <col min="8965" max="8965" width="11.375" style="85" customWidth="1"/>
    <col min="8966" max="8966" width="10.25" style="85" bestFit="1" customWidth="1"/>
    <col min="8967" max="8967" width="11.625" style="85" bestFit="1" customWidth="1"/>
    <col min="8968" max="8968" width="18" style="85" bestFit="1" customWidth="1"/>
    <col min="8969" max="8969" width="17.5" style="85" bestFit="1" customWidth="1"/>
    <col min="8970" max="9216" width="9" style="85"/>
    <col min="9217" max="9217" width="8.5" style="85" bestFit="1" customWidth="1"/>
    <col min="9218" max="9218" width="10.5" style="85" bestFit="1" customWidth="1"/>
    <col min="9219" max="9219" width="11.75" style="85" bestFit="1" customWidth="1"/>
    <col min="9220" max="9220" width="13.5" style="85" customWidth="1"/>
    <col min="9221" max="9221" width="11.375" style="85" customWidth="1"/>
    <col min="9222" max="9222" width="10.25" style="85" bestFit="1" customWidth="1"/>
    <col min="9223" max="9223" width="11.625" style="85" bestFit="1" customWidth="1"/>
    <col min="9224" max="9224" width="18" style="85" bestFit="1" customWidth="1"/>
    <col min="9225" max="9225" width="17.5" style="85" bestFit="1" customWidth="1"/>
    <col min="9226" max="9472" width="9" style="85"/>
    <col min="9473" max="9473" width="8.5" style="85" bestFit="1" customWidth="1"/>
    <col min="9474" max="9474" width="10.5" style="85" bestFit="1" customWidth="1"/>
    <col min="9475" max="9475" width="11.75" style="85" bestFit="1" customWidth="1"/>
    <col min="9476" max="9476" width="13.5" style="85" customWidth="1"/>
    <col min="9477" max="9477" width="11.375" style="85" customWidth="1"/>
    <col min="9478" max="9478" width="10.25" style="85" bestFit="1" customWidth="1"/>
    <col min="9479" max="9479" width="11.625" style="85" bestFit="1" customWidth="1"/>
    <col min="9480" max="9480" width="18" style="85" bestFit="1" customWidth="1"/>
    <col min="9481" max="9481" width="17.5" style="85" bestFit="1" customWidth="1"/>
    <col min="9482" max="9728" width="9" style="85"/>
    <col min="9729" max="9729" width="8.5" style="85" bestFit="1" customWidth="1"/>
    <col min="9730" max="9730" width="10.5" style="85" bestFit="1" customWidth="1"/>
    <col min="9731" max="9731" width="11.75" style="85" bestFit="1" customWidth="1"/>
    <col min="9732" max="9732" width="13.5" style="85" customWidth="1"/>
    <col min="9733" max="9733" width="11.375" style="85" customWidth="1"/>
    <col min="9734" max="9734" width="10.25" style="85" bestFit="1" customWidth="1"/>
    <col min="9735" max="9735" width="11.625" style="85" bestFit="1" customWidth="1"/>
    <col min="9736" max="9736" width="18" style="85" bestFit="1" customWidth="1"/>
    <col min="9737" max="9737" width="17.5" style="85" bestFit="1" customWidth="1"/>
    <col min="9738" max="9984" width="9" style="85"/>
    <col min="9985" max="9985" width="8.5" style="85" bestFit="1" customWidth="1"/>
    <col min="9986" max="9986" width="10.5" style="85" bestFit="1" customWidth="1"/>
    <col min="9987" max="9987" width="11.75" style="85" bestFit="1" customWidth="1"/>
    <col min="9988" max="9988" width="13.5" style="85" customWidth="1"/>
    <col min="9989" max="9989" width="11.375" style="85" customWidth="1"/>
    <col min="9990" max="9990" width="10.25" style="85" bestFit="1" customWidth="1"/>
    <col min="9991" max="9991" width="11.625" style="85" bestFit="1" customWidth="1"/>
    <col min="9992" max="9992" width="18" style="85" bestFit="1" customWidth="1"/>
    <col min="9993" max="9993" width="17.5" style="85" bestFit="1" customWidth="1"/>
    <col min="9994" max="10240" width="9" style="85"/>
    <col min="10241" max="10241" width="8.5" style="85" bestFit="1" customWidth="1"/>
    <col min="10242" max="10242" width="10.5" style="85" bestFit="1" customWidth="1"/>
    <col min="10243" max="10243" width="11.75" style="85" bestFit="1" customWidth="1"/>
    <col min="10244" max="10244" width="13.5" style="85" customWidth="1"/>
    <col min="10245" max="10245" width="11.375" style="85" customWidth="1"/>
    <col min="10246" max="10246" width="10.25" style="85" bestFit="1" customWidth="1"/>
    <col min="10247" max="10247" width="11.625" style="85" bestFit="1" customWidth="1"/>
    <col min="10248" max="10248" width="18" style="85" bestFit="1" customWidth="1"/>
    <col min="10249" max="10249" width="17.5" style="85" bestFit="1" customWidth="1"/>
    <col min="10250" max="10496" width="9" style="85"/>
    <col min="10497" max="10497" width="8.5" style="85" bestFit="1" customWidth="1"/>
    <col min="10498" max="10498" width="10.5" style="85" bestFit="1" customWidth="1"/>
    <col min="10499" max="10499" width="11.75" style="85" bestFit="1" customWidth="1"/>
    <col min="10500" max="10500" width="13.5" style="85" customWidth="1"/>
    <col min="10501" max="10501" width="11.375" style="85" customWidth="1"/>
    <col min="10502" max="10502" width="10.25" style="85" bestFit="1" customWidth="1"/>
    <col min="10503" max="10503" width="11.625" style="85" bestFit="1" customWidth="1"/>
    <col min="10504" max="10504" width="18" style="85" bestFit="1" customWidth="1"/>
    <col min="10505" max="10505" width="17.5" style="85" bestFit="1" customWidth="1"/>
    <col min="10506" max="10752" width="9" style="85"/>
    <col min="10753" max="10753" width="8.5" style="85" bestFit="1" customWidth="1"/>
    <col min="10754" max="10754" width="10.5" style="85" bestFit="1" customWidth="1"/>
    <col min="10755" max="10755" width="11.75" style="85" bestFit="1" customWidth="1"/>
    <col min="10756" max="10756" width="13.5" style="85" customWidth="1"/>
    <col min="10757" max="10757" width="11.375" style="85" customWidth="1"/>
    <col min="10758" max="10758" width="10.25" style="85" bestFit="1" customWidth="1"/>
    <col min="10759" max="10759" width="11.625" style="85" bestFit="1" customWidth="1"/>
    <col min="10760" max="10760" width="18" style="85" bestFit="1" customWidth="1"/>
    <col min="10761" max="10761" width="17.5" style="85" bestFit="1" customWidth="1"/>
    <col min="10762" max="11008" width="9" style="85"/>
    <col min="11009" max="11009" width="8.5" style="85" bestFit="1" customWidth="1"/>
    <col min="11010" max="11010" width="10.5" style="85" bestFit="1" customWidth="1"/>
    <col min="11011" max="11011" width="11.75" style="85" bestFit="1" customWidth="1"/>
    <col min="11012" max="11012" width="13.5" style="85" customWidth="1"/>
    <col min="11013" max="11013" width="11.375" style="85" customWidth="1"/>
    <col min="11014" max="11014" width="10.25" style="85" bestFit="1" customWidth="1"/>
    <col min="11015" max="11015" width="11.625" style="85" bestFit="1" customWidth="1"/>
    <col min="11016" max="11016" width="18" style="85" bestFit="1" customWidth="1"/>
    <col min="11017" max="11017" width="17.5" style="85" bestFit="1" customWidth="1"/>
    <col min="11018" max="11264" width="9" style="85"/>
    <col min="11265" max="11265" width="8.5" style="85" bestFit="1" customWidth="1"/>
    <col min="11266" max="11266" width="10.5" style="85" bestFit="1" customWidth="1"/>
    <col min="11267" max="11267" width="11.75" style="85" bestFit="1" customWidth="1"/>
    <col min="11268" max="11268" width="13.5" style="85" customWidth="1"/>
    <col min="11269" max="11269" width="11.375" style="85" customWidth="1"/>
    <col min="11270" max="11270" width="10.25" style="85" bestFit="1" customWidth="1"/>
    <col min="11271" max="11271" width="11.625" style="85" bestFit="1" customWidth="1"/>
    <col min="11272" max="11272" width="18" style="85" bestFit="1" customWidth="1"/>
    <col min="11273" max="11273" width="17.5" style="85" bestFit="1" customWidth="1"/>
    <col min="11274" max="11520" width="9" style="85"/>
    <col min="11521" max="11521" width="8.5" style="85" bestFit="1" customWidth="1"/>
    <col min="11522" max="11522" width="10.5" style="85" bestFit="1" customWidth="1"/>
    <col min="11523" max="11523" width="11.75" style="85" bestFit="1" customWidth="1"/>
    <col min="11524" max="11524" width="13.5" style="85" customWidth="1"/>
    <col min="11525" max="11525" width="11.375" style="85" customWidth="1"/>
    <col min="11526" max="11526" width="10.25" style="85" bestFit="1" customWidth="1"/>
    <col min="11527" max="11527" width="11.625" style="85" bestFit="1" customWidth="1"/>
    <col min="11528" max="11528" width="18" style="85" bestFit="1" customWidth="1"/>
    <col min="11529" max="11529" width="17.5" style="85" bestFit="1" customWidth="1"/>
    <col min="11530" max="11776" width="9" style="85"/>
    <col min="11777" max="11777" width="8.5" style="85" bestFit="1" customWidth="1"/>
    <col min="11778" max="11778" width="10.5" style="85" bestFit="1" customWidth="1"/>
    <col min="11779" max="11779" width="11.75" style="85" bestFit="1" customWidth="1"/>
    <col min="11780" max="11780" width="13.5" style="85" customWidth="1"/>
    <col min="11781" max="11781" width="11.375" style="85" customWidth="1"/>
    <col min="11782" max="11782" width="10.25" style="85" bestFit="1" customWidth="1"/>
    <col min="11783" max="11783" width="11.625" style="85" bestFit="1" customWidth="1"/>
    <col min="11784" max="11784" width="18" style="85" bestFit="1" customWidth="1"/>
    <col min="11785" max="11785" width="17.5" style="85" bestFit="1" customWidth="1"/>
    <col min="11786" max="12032" width="9" style="85"/>
    <col min="12033" max="12033" width="8.5" style="85" bestFit="1" customWidth="1"/>
    <col min="12034" max="12034" width="10.5" style="85" bestFit="1" customWidth="1"/>
    <col min="12035" max="12035" width="11.75" style="85" bestFit="1" customWidth="1"/>
    <col min="12036" max="12036" width="13.5" style="85" customWidth="1"/>
    <col min="12037" max="12037" width="11.375" style="85" customWidth="1"/>
    <col min="12038" max="12038" width="10.25" style="85" bestFit="1" customWidth="1"/>
    <col min="12039" max="12039" width="11.625" style="85" bestFit="1" customWidth="1"/>
    <col min="12040" max="12040" width="18" style="85" bestFit="1" customWidth="1"/>
    <col min="12041" max="12041" width="17.5" style="85" bestFit="1" customWidth="1"/>
    <col min="12042" max="12288" width="9" style="85"/>
    <col min="12289" max="12289" width="8.5" style="85" bestFit="1" customWidth="1"/>
    <col min="12290" max="12290" width="10.5" style="85" bestFit="1" customWidth="1"/>
    <col min="12291" max="12291" width="11.75" style="85" bestFit="1" customWidth="1"/>
    <col min="12292" max="12292" width="13.5" style="85" customWidth="1"/>
    <col min="12293" max="12293" width="11.375" style="85" customWidth="1"/>
    <col min="12294" max="12294" width="10.25" style="85" bestFit="1" customWidth="1"/>
    <col min="12295" max="12295" width="11.625" style="85" bestFit="1" customWidth="1"/>
    <col min="12296" max="12296" width="18" style="85" bestFit="1" customWidth="1"/>
    <col min="12297" max="12297" width="17.5" style="85" bestFit="1" customWidth="1"/>
    <col min="12298" max="12544" width="9" style="85"/>
    <col min="12545" max="12545" width="8.5" style="85" bestFit="1" customWidth="1"/>
    <col min="12546" max="12546" width="10.5" style="85" bestFit="1" customWidth="1"/>
    <col min="12547" max="12547" width="11.75" style="85" bestFit="1" customWidth="1"/>
    <col min="12548" max="12548" width="13.5" style="85" customWidth="1"/>
    <col min="12549" max="12549" width="11.375" style="85" customWidth="1"/>
    <col min="12550" max="12550" width="10.25" style="85" bestFit="1" customWidth="1"/>
    <col min="12551" max="12551" width="11.625" style="85" bestFit="1" customWidth="1"/>
    <col min="12552" max="12552" width="18" style="85" bestFit="1" customWidth="1"/>
    <col min="12553" max="12553" width="17.5" style="85" bestFit="1" customWidth="1"/>
    <col min="12554" max="12800" width="9" style="85"/>
    <col min="12801" max="12801" width="8.5" style="85" bestFit="1" customWidth="1"/>
    <col min="12802" max="12802" width="10.5" style="85" bestFit="1" customWidth="1"/>
    <col min="12803" max="12803" width="11.75" style="85" bestFit="1" customWidth="1"/>
    <col min="12804" max="12804" width="13.5" style="85" customWidth="1"/>
    <col min="12805" max="12805" width="11.375" style="85" customWidth="1"/>
    <col min="12806" max="12806" width="10.25" style="85" bestFit="1" customWidth="1"/>
    <col min="12807" max="12807" width="11.625" style="85" bestFit="1" customWidth="1"/>
    <col min="12808" max="12808" width="18" style="85" bestFit="1" customWidth="1"/>
    <col min="12809" max="12809" width="17.5" style="85" bestFit="1" customWidth="1"/>
    <col min="12810" max="13056" width="9" style="85"/>
    <col min="13057" max="13057" width="8.5" style="85" bestFit="1" customWidth="1"/>
    <col min="13058" max="13058" width="10.5" style="85" bestFit="1" customWidth="1"/>
    <col min="13059" max="13059" width="11.75" style="85" bestFit="1" customWidth="1"/>
    <col min="13060" max="13060" width="13.5" style="85" customWidth="1"/>
    <col min="13061" max="13061" width="11.375" style="85" customWidth="1"/>
    <col min="13062" max="13062" width="10.25" style="85" bestFit="1" customWidth="1"/>
    <col min="13063" max="13063" width="11.625" style="85" bestFit="1" customWidth="1"/>
    <col min="13064" max="13064" width="18" style="85" bestFit="1" customWidth="1"/>
    <col min="13065" max="13065" width="17.5" style="85" bestFit="1" customWidth="1"/>
    <col min="13066" max="13312" width="9" style="85"/>
    <col min="13313" max="13313" width="8.5" style="85" bestFit="1" customWidth="1"/>
    <col min="13314" max="13314" width="10.5" style="85" bestFit="1" customWidth="1"/>
    <col min="13315" max="13315" width="11.75" style="85" bestFit="1" customWidth="1"/>
    <col min="13316" max="13316" width="13.5" style="85" customWidth="1"/>
    <col min="13317" max="13317" width="11.375" style="85" customWidth="1"/>
    <col min="13318" max="13318" width="10.25" style="85" bestFit="1" customWidth="1"/>
    <col min="13319" max="13319" width="11.625" style="85" bestFit="1" customWidth="1"/>
    <col min="13320" max="13320" width="18" style="85" bestFit="1" customWidth="1"/>
    <col min="13321" max="13321" width="17.5" style="85" bestFit="1" customWidth="1"/>
    <col min="13322" max="13568" width="9" style="85"/>
    <col min="13569" max="13569" width="8.5" style="85" bestFit="1" customWidth="1"/>
    <col min="13570" max="13570" width="10.5" style="85" bestFit="1" customWidth="1"/>
    <col min="13571" max="13571" width="11.75" style="85" bestFit="1" customWidth="1"/>
    <col min="13572" max="13572" width="13.5" style="85" customWidth="1"/>
    <col min="13573" max="13573" width="11.375" style="85" customWidth="1"/>
    <col min="13574" max="13574" width="10.25" style="85" bestFit="1" customWidth="1"/>
    <col min="13575" max="13575" width="11.625" style="85" bestFit="1" customWidth="1"/>
    <col min="13576" max="13576" width="18" style="85" bestFit="1" customWidth="1"/>
    <col min="13577" max="13577" width="17.5" style="85" bestFit="1" customWidth="1"/>
    <col min="13578" max="13824" width="9" style="85"/>
    <col min="13825" max="13825" width="8.5" style="85" bestFit="1" customWidth="1"/>
    <col min="13826" max="13826" width="10.5" style="85" bestFit="1" customWidth="1"/>
    <col min="13827" max="13827" width="11.75" style="85" bestFit="1" customWidth="1"/>
    <col min="13828" max="13828" width="13.5" style="85" customWidth="1"/>
    <col min="13829" max="13829" width="11.375" style="85" customWidth="1"/>
    <col min="13830" max="13830" width="10.25" style="85" bestFit="1" customWidth="1"/>
    <col min="13831" max="13831" width="11.625" style="85" bestFit="1" customWidth="1"/>
    <col min="13832" max="13832" width="18" style="85" bestFit="1" customWidth="1"/>
    <col min="13833" max="13833" width="17.5" style="85" bestFit="1" customWidth="1"/>
    <col min="13834" max="14080" width="9" style="85"/>
    <col min="14081" max="14081" width="8.5" style="85" bestFit="1" customWidth="1"/>
    <col min="14082" max="14082" width="10.5" style="85" bestFit="1" customWidth="1"/>
    <col min="14083" max="14083" width="11.75" style="85" bestFit="1" customWidth="1"/>
    <col min="14084" max="14084" width="13.5" style="85" customWidth="1"/>
    <col min="14085" max="14085" width="11.375" style="85" customWidth="1"/>
    <col min="14086" max="14086" width="10.25" style="85" bestFit="1" customWidth="1"/>
    <col min="14087" max="14087" width="11.625" style="85" bestFit="1" customWidth="1"/>
    <col min="14088" max="14088" width="18" style="85" bestFit="1" customWidth="1"/>
    <col min="14089" max="14089" width="17.5" style="85" bestFit="1" customWidth="1"/>
    <col min="14090" max="14336" width="9" style="85"/>
    <col min="14337" max="14337" width="8.5" style="85" bestFit="1" customWidth="1"/>
    <col min="14338" max="14338" width="10.5" style="85" bestFit="1" customWidth="1"/>
    <col min="14339" max="14339" width="11.75" style="85" bestFit="1" customWidth="1"/>
    <col min="14340" max="14340" width="13.5" style="85" customWidth="1"/>
    <col min="14341" max="14341" width="11.375" style="85" customWidth="1"/>
    <col min="14342" max="14342" width="10.25" style="85" bestFit="1" customWidth="1"/>
    <col min="14343" max="14343" width="11.625" style="85" bestFit="1" customWidth="1"/>
    <col min="14344" max="14344" width="18" style="85" bestFit="1" customWidth="1"/>
    <col min="14345" max="14345" width="17.5" style="85" bestFit="1" customWidth="1"/>
    <col min="14346" max="14592" width="9" style="85"/>
    <col min="14593" max="14593" width="8.5" style="85" bestFit="1" customWidth="1"/>
    <col min="14594" max="14594" width="10.5" style="85" bestFit="1" customWidth="1"/>
    <col min="14595" max="14595" width="11.75" style="85" bestFit="1" customWidth="1"/>
    <col min="14596" max="14596" width="13.5" style="85" customWidth="1"/>
    <col min="14597" max="14597" width="11.375" style="85" customWidth="1"/>
    <col min="14598" max="14598" width="10.25" style="85" bestFit="1" customWidth="1"/>
    <col min="14599" max="14599" width="11.625" style="85" bestFit="1" customWidth="1"/>
    <col min="14600" max="14600" width="18" style="85" bestFit="1" customWidth="1"/>
    <col min="14601" max="14601" width="17.5" style="85" bestFit="1" customWidth="1"/>
    <col min="14602" max="14848" width="9" style="85"/>
    <col min="14849" max="14849" width="8.5" style="85" bestFit="1" customWidth="1"/>
    <col min="14850" max="14850" width="10.5" style="85" bestFit="1" customWidth="1"/>
    <col min="14851" max="14851" width="11.75" style="85" bestFit="1" customWidth="1"/>
    <col min="14852" max="14852" width="13.5" style="85" customWidth="1"/>
    <col min="14853" max="14853" width="11.375" style="85" customWidth="1"/>
    <col min="14854" max="14854" width="10.25" style="85" bestFit="1" customWidth="1"/>
    <col min="14855" max="14855" width="11.625" style="85" bestFit="1" customWidth="1"/>
    <col min="14856" max="14856" width="18" style="85" bestFit="1" customWidth="1"/>
    <col min="14857" max="14857" width="17.5" style="85" bestFit="1" customWidth="1"/>
    <col min="14858" max="15104" width="9" style="85"/>
    <col min="15105" max="15105" width="8.5" style="85" bestFit="1" customWidth="1"/>
    <col min="15106" max="15106" width="10.5" style="85" bestFit="1" customWidth="1"/>
    <col min="15107" max="15107" width="11.75" style="85" bestFit="1" customWidth="1"/>
    <col min="15108" max="15108" width="13.5" style="85" customWidth="1"/>
    <col min="15109" max="15109" width="11.375" style="85" customWidth="1"/>
    <col min="15110" max="15110" width="10.25" style="85" bestFit="1" customWidth="1"/>
    <col min="15111" max="15111" width="11.625" style="85" bestFit="1" customWidth="1"/>
    <col min="15112" max="15112" width="18" style="85" bestFit="1" customWidth="1"/>
    <col min="15113" max="15113" width="17.5" style="85" bestFit="1" customWidth="1"/>
    <col min="15114" max="15360" width="9" style="85"/>
    <col min="15361" max="15361" width="8.5" style="85" bestFit="1" customWidth="1"/>
    <col min="15362" max="15362" width="10.5" style="85" bestFit="1" customWidth="1"/>
    <col min="15363" max="15363" width="11.75" style="85" bestFit="1" customWidth="1"/>
    <col min="15364" max="15364" width="13.5" style="85" customWidth="1"/>
    <col min="15365" max="15365" width="11.375" style="85" customWidth="1"/>
    <col min="15366" max="15366" width="10.25" style="85" bestFit="1" customWidth="1"/>
    <col min="15367" max="15367" width="11.625" style="85" bestFit="1" customWidth="1"/>
    <col min="15368" max="15368" width="18" style="85" bestFit="1" customWidth="1"/>
    <col min="15369" max="15369" width="17.5" style="85" bestFit="1" customWidth="1"/>
    <col min="15370" max="15616" width="9" style="85"/>
    <col min="15617" max="15617" width="8.5" style="85" bestFit="1" customWidth="1"/>
    <col min="15618" max="15618" width="10.5" style="85" bestFit="1" customWidth="1"/>
    <col min="15619" max="15619" width="11.75" style="85" bestFit="1" customWidth="1"/>
    <col min="15620" max="15620" width="13.5" style="85" customWidth="1"/>
    <col min="15621" max="15621" width="11.375" style="85" customWidth="1"/>
    <col min="15622" max="15622" width="10.25" style="85" bestFit="1" customWidth="1"/>
    <col min="15623" max="15623" width="11.625" style="85" bestFit="1" customWidth="1"/>
    <col min="15624" max="15624" width="18" style="85" bestFit="1" customWidth="1"/>
    <col min="15625" max="15625" width="17.5" style="85" bestFit="1" customWidth="1"/>
    <col min="15626" max="15872" width="9" style="85"/>
    <col min="15873" max="15873" width="8.5" style="85" bestFit="1" customWidth="1"/>
    <col min="15874" max="15874" width="10.5" style="85" bestFit="1" customWidth="1"/>
    <col min="15875" max="15875" width="11.75" style="85" bestFit="1" customWidth="1"/>
    <col min="15876" max="15876" width="13.5" style="85" customWidth="1"/>
    <col min="15877" max="15877" width="11.375" style="85" customWidth="1"/>
    <col min="15878" max="15878" width="10.25" style="85" bestFit="1" customWidth="1"/>
    <col min="15879" max="15879" width="11.625" style="85" bestFit="1" customWidth="1"/>
    <col min="15880" max="15880" width="18" style="85" bestFit="1" customWidth="1"/>
    <col min="15881" max="15881" width="17.5" style="85" bestFit="1" customWidth="1"/>
    <col min="15882" max="16128" width="9" style="85"/>
    <col min="16129" max="16129" width="8.5" style="85" bestFit="1" customWidth="1"/>
    <col min="16130" max="16130" width="10.5" style="85" bestFit="1" customWidth="1"/>
    <col min="16131" max="16131" width="11.75" style="85" bestFit="1" customWidth="1"/>
    <col min="16132" max="16132" width="13.5" style="85" customWidth="1"/>
    <col min="16133" max="16133" width="11.375" style="85" customWidth="1"/>
    <col min="16134" max="16134" width="10.25" style="85" bestFit="1" customWidth="1"/>
    <col min="16135" max="16135" width="11.625" style="85" bestFit="1" customWidth="1"/>
    <col min="16136" max="16136" width="18" style="85" bestFit="1" customWidth="1"/>
    <col min="16137" max="16137" width="17.5" style="85" bestFit="1" customWidth="1"/>
    <col min="16138" max="16384" width="9" style="85"/>
  </cols>
  <sheetData>
    <row r="1" spans="1:13" ht="25.5" x14ac:dyDescent="0.2">
      <c r="A1" s="164" t="s">
        <v>0</v>
      </c>
      <c r="B1" s="164"/>
      <c r="C1" s="164"/>
      <c r="D1" s="164"/>
      <c r="E1" s="164"/>
      <c r="F1" s="164"/>
      <c r="G1" s="164"/>
      <c r="H1" s="164"/>
      <c r="I1" s="164"/>
      <c r="J1" s="170" t="s">
        <v>64</v>
      </c>
      <c r="K1" s="170"/>
      <c r="L1" t="s">
        <v>107</v>
      </c>
      <c r="M1"/>
    </row>
    <row r="2" spans="1:13" ht="25.5" x14ac:dyDescent="0.2">
      <c r="A2" s="86"/>
      <c r="B2" s="86"/>
      <c r="C2" s="86"/>
      <c r="D2" s="86"/>
      <c r="F2" s="87"/>
      <c r="G2" s="87"/>
      <c r="H2" s="87" t="s">
        <v>1</v>
      </c>
      <c r="I2" s="88" t="s">
        <v>91</v>
      </c>
      <c r="J2" s="170"/>
      <c r="K2" s="170"/>
      <c r="L2"/>
      <c r="M2"/>
    </row>
    <row r="3" spans="1:13" ht="15" x14ac:dyDescent="0.2">
      <c r="A3" s="89" t="s">
        <v>3</v>
      </c>
      <c r="B3" s="165"/>
      <c r="C3" s="165"/>
      <c r="D3" s="165"/>
      <c r="E3" s="165"/>
      <c r="F3" s="165"/>
      <c r="G3" s="90" t="s">
        <v>4</v>
      </c>
      <c r="H3" s="166">
        <v>45173</v>
      </c>
      <c r="I3" s="166"/>
      <c r="J3" s="53" t="s">
        <v>65</v>
      </c>
      <c r="K3" s="53"/>
      <c r="L3"/>
      <c r="M3"/>
    </row>
    <row r="4" spans="1:13" x14ac:dyDescent="0.2">
      <c r="A4" s="89" t="s">
        <v>5</v>
      </c>
      <c r="B4" s="167" t="s">
        <v>92</v>
      </c>
      <c r="C4" s="168"/>
      <c r="D4" s="168"/>
      <c r="E4" s="168"/>
      <c r="F4" s="169"/>
      <c r="G4" s="90" t="s">
        <v>7</v>
      </c>
      <c r="H4" s="186" t="s">
        <v>93</v>
      </c>
      <c r="I4" s="186"/>
    </row>
    <row r="5" spans="1:13" x14ac:dyDescent="0.2">
      <c r="A5" s="187" t="s">
        <v>9</v>
      </c>
      <c r="B5" s="188" t="s">
        <v>10</v>
      </c>
      <c r="C5" s="193" t="s">
        <v>11</v>
      </c>
      <c r="D5" s="193"/>
      <c r="E5" s="193"/>
      <c r="F5" s="193"/>
      <c r="G5" s="89" t="s">
        <v>12</v>
      </c>
      <c r="H5" s="89" t="s">
        <v>13</v>
      </c>
      <c r="I5" s="89" t="s">
        <v>14</v>
      </c>
    </row>
    <row r="6" spans="1:13" ht="15.75" x14ac:dyDescent="0.2">
      <c r="A6" s="187"/>
      <c r="B6" s="187"/>
      <c r="C6" s="193"/>
      <c r="D6" s="193"/>
      <c r="E6" s="193"/>
      <c r="F6" s="193"/>
      <c r="G6" s="89" t="s">
        <v>15</v>
      </c>
      <c r="H6" s="91" t="s">
        <v>16</v>
      </c>
      <c r="I6" s="91" t="s">
        <v>17</v>
      </c>
    </row>
    <row r="7" spans="1:13" ht="15.75" x14ac:dyDescent="0.15">
      <c r="A7" s="8" t="s">
        <v>18</v>
      </c>
      <c r="B7" s="9" t="s">
        <v>19</v>
      </c>
      <c r="C7" s="194" t="s">
        <v>92</v>
      </c>
      <c r="D7" s="194"/>
      <c r="E7" s="194"/>
      <c r="F7" s="194"/>
      <c r="G7" s="10">
        <f>0.19^2*0.7854*8.89/10*24*1.015^2*5</f>
        <v>3.1161129439948194</v>
      </c>
      <c r="H7" s="63">
        <f>(J7+1300)/1.13/1000+1.21</f>
        <v>64.307345132743365</v>
      </c>
      <c r="I7" s="92">
        <f>G7*H7</f>
        <v>200.38895056208383</v>
      </c>
      <c r="J7" s="55">
        <v>70000</v>
      </c>
      <c r="K7" s="53"/>
    </row>
    <row r="8" spans="1:13" ht="15.75" x14ac:dyDescent="0.2">
      <c r="A8" s="8" t="s">
        <v>20</v>
      </c>
      <c r="B8" s="9" t="s">
        <v>21</v>
      </c>
      <c r="C8" s="194" t="s">
        <v>94</v>
      </c>
      <c r="D8" s="194"/>
      <c r="E8" s="194"/>
      <c r="F8" s="194"/>
      <c r="G8" s="10">
        <f>(2.1^2-1.06^2*0.85)*0.7854*1.52/10*5*1.015</f>
        <v>2.0932015183464001</v>
      </c>
      <c r="H8" s="64">
        <f>6.36+0.5</f>
        <v>6.86</v>
      </c>
      <c r="I8" s="92">
        <f>G8*H8</f>
        <v>14.359362415856305</v>
      </c>
      <c r="J8" t="s">
        <v>108</v>
      </c>
      <c r="K8"/>
    </row>
    <row r="9" spans="1:13" ht="15.75" x14ac:dyDescent="0.2">
      <c r="A9" s="8"/>
      <c r="B9" s="9"/>
      <c r="C9" s="198" t="s">
        <v>95</v>
      </c>
      <c r="D9" s="199"/>
      <c r="E9" s="199"/>
      <c r="F9" s="200"/>
      <c r="G9" s="10">
        <v>0.14000000000000001</v>
      </c>
      <c r="H9" s="64">
        <v>18</v>
      </c>
      <c r="I9" s="92">
        <f>G9*H9</f>
        <v>2.5200000000000005</v>
      </c>
      <c r="K9"/>
    </row>
    <row r="10" spans="1:13" ht="15.75" x14ac:dyDescent="0.2">
      <c r="A10" s="8">
        <v>3</v>
      </c>
      <c r="B10" s="9" t="s">
        <v>23</v>
      </c>
      <c r="C10" s="194" t="s">
        <v>96</v>
      </c>
      <c r="D10" s="194"/>
      <c r="E10" s="194"/>
      <c r="F10" s="194"/>
      <c r="G10" s="10">
        <f>(7.85^2-2.1^2*5)*0.7854*1.47/10</f>
        <v>4.5687955004999985</v>
      </c>
      <c r="H10" s="64">
        <f>7.59+0.5</f>
        <v>8.09</v>
      </c>
      <c r="I10" s="92">
        <f>G10*H10</f>
        <v>36.961555599044985</v>
      </c>
      <c r="J10" t="s">
        <v>108</v>
      </c>
      <c r="K10"/>
    </row>
    <row r="11" spans="1:13" ht="15.75" x14ac:dyDescent="0.15">
      <c r="A11" s="93" t="s">
        <v>25</v>
      </c>
      <c r="B11" s="94">
        <f>I11/100</f>
        <v>2.5422986857698517</v>
      </c>
      <c r="C11" s="197" t="s">
        <v>26</v>
      </c>
      <c r="D11" s="197"/>
      <c r="E11" s="197"/>
      <c r="F11" s="197"/>
      <c r="G11" s="95">
        <f>SUM(G7:G10)/100</f>
        <v>9.9181099628412178E-2</v>
      </c>
      <c r="H11" s="96" t="s">
        <v>27</v>
      </c>
      <c r="I11" s="97">
        <f>SUM(I7:I10)</f>
        <v>254.22986857698515</v>
      </c>
      <c r="J11" s="56">
        <f>B11*1.13/I22</f>
        <v>0.81708680231149244</v>
      </c>
      <c r="K11" s="57">
        <f>G11*G20</f>
        <v>991.81099628412176</v>
      </c>
    </row>
    <row r="12" spans="1:13" ht="36" x14ac:dyDescent="0.2">
      <c r="A12" s="17" t="s">
        <v>10</v>
      </c>
      <c r="B12" s="18" t="s">
        <v>28</v>
      </c>
      <c r="C12" s="17" t="s">
        <v>29</v>
      </c>
      <c r="D12" s="17" t="s">
        <v>30</v>
      </c>
      <c r="E12" s="17" t="s">
        <v>31</v>
      </c>
      <c r="F12" s="18" t="s">
        <v>32</v>
      </c>
      <c r="G12" s="18" t="s">
        <v>33</v>
      </c>
      <c r="H12" s="19" t="s">
        <v>34</v>
      </c>
      <c r="I12" s="17" t="s">
        <v>35</v>
      </c>
    </row>
    <row r="13" spans="1:13" ht="15.75" x14ac:dyDescent="0.2">
      <c r="A13" s="9" t="s">
        <v>19</v>
      </c>
      <c r="B13" s="68">
        <f>0.218*5</f>
        <v>1.0900000000000001</v>
      </c>
      <c r="C13" s="20">
        <v>0</v>
      </c>
      <c r="D13" s="21">
        <v>10</v>
      </c>
      <c r="E13" s="21">
        <f>B13*D13*G20/1000+C13*D13*G18</f>
        <v>109</v>
      </c>
      <c r="F13" s="70">
        <v>0.1</v>
      </c>
      <c r="G13" s="98">
        <v>0</v>
      </c>
      <c r="H13" s="99">
        <f>F13*I7</f>
        <v>20.038895056208386</v>
      </c>
      <c r="I13" s="21">
        <f>E13+H13*G18</f>
        <v>129.03889505620839</v>
      </c>
    </row>
    <row r="14" spans="1:13" ht="15.75" x14ac:dyDescent="0.2">
      <c r="A14" s="9" t="s">
        <v>21</v>
      </c>
      <c r="B14" s="26">
        <f>1000/60/250*5</f>
        <v>0.33333333333333331</v>
      </c>
      <c r="C14" s="20">
        <v>0</v>
      </c>
      <c r="D14" s="21">
        <v>120</v>
      </c>
      <c r="E14" s="21">
        <f>B14*D14*G20/1000+C14*D14*G18</f>
        <v>400</v>
      </c>
      <c r="F14" s="70">
        <v>0.5</v>
      </c>
      <c r="G14" s="72">
        <v>2</v>
      </c>
      <c r="H14" s="99">
        <f>F14*(I8+I7)+G14*H8</f>
        <v>121.09415648897007</v>
      </c>
      <c r="I14" s="21">
        <f>E14+H14*G18</f>
        <v>521.09415648897004</v>
      </c>
    </row>
    <row r="15" spans="1:13" ht="15.75" x14ac:dyDescent="0.2">
      <c r="A15" s="9" t="s">
        <v>36</v>
      </c>
      <c r="B15" s="26">
        <f>1000/60/40</f>
        <v>0.41666666666666669</v>
      </c>
      <c r="C15" s="20">
        <v>0</v>
      </c>
      <c r="D15" s="21">
        <v>40</v>
      </c>
      <c r="E15" s="21">
        <f>B15*D15*G20/1000+C15*D15*G18</f>
        <v>166.66666666666669</v>
      </c>
      <c r="F15" s="70">
        <v>0.1</v>
      </c>
      <c r="G15" s="72">
        <v>0</v>
      </c>
      <c r="H15" s="99">
        <f>F15*(I8+I7)</f>
        <v>21.474831297794015</v>
      </c>
      <c r="I15" s="21">
        <f>E15+H15*G18</f>
        <v>188.14149796446071</v>
      </c>
    </row>
    <row r="16" spans="1:13" ht="15.75" x14ac:dyDescent="0.2">
      <c r="A16" s="9" t="s">
        <v>23</v>
      </c>
      <c r="B16" s="26">
        <f>1000/60/50</f>
        <v>0.33333333333333337</v>
      </c>
      <c r="C16" s="20">
        <v>0</v>
      </c>
      <c r="D16" s="21">
        <v>140</v>
      </c>
      <c r="E16" s="21">
        <f>B16*D16*G20/1000+C16*D16*G18</f>
        <v>466.66666666666669</v>
      </c>
      <c r="F16" s="70">
        <v>2</v>
      </c>
      <c r="G16" s="72">
        <v>5</v>
      </c>
      <c r="H16" s="99">
        <f>F16*I11+G16*H10</f>
        <v>548.90973715397035</v>
      </c>
      <c r="I16" s="21">
        <f>E16+H16*G18</f>
        <v>1015.5764038206371</v>
      </c>
    </row>
    <row r="17" spans="1:11" ht="24" x14ac:dyDescent="0.2">
      <c r="A17" s="157" t="s">
        <v>37</v>
      </c>
      <c r="B17" s="158"/>
      <c r="C17" s="28" t="s">
        <v>38</v>
      </c>
      <c r="D17" s="28" t="s">
        <v>39</v>
      </c>
      <c r="E17" s="28" t="s">
        <v>40</v>
      </c>
      <c r="F17" s="100" t="s">
        <v>41</v>
      </c>
      <c r="G17" s="60" t="s">
        <v>42</v>
      </c>
      <c r="H17" s="101" t="s">
        <v>43</v>
      </c>
      <c r="I17" s="102">
        <f>SUM(I13:I16)</f>
        <v>1853.8509533302763</v>
      </c>
    </row>
    <row r="18" spans="1:11" ht="15" x14ac:dyDescent="0.2">
      <c r="A18" s="159"/>
      <c r="B18" s="160"/>
      <c r="C18" s="58">
        <v>0</v>
      </c>
      <c r="D18" s="58">
        <v>0.85</v>
      </c>
      <c r="E18" s="33">
        <v>1.2999999999999999E-2</v>
      </c>
      <c r="F18" s="103">
        <v>0.02</v>
      </c>
      <c r="G18" s="104">
        <v>1</v>
      </c>
      <c r="H18" s="163" t="s">
        <v>44</v>
      </c>
      <c r="I18" s="195" t="s">
        <v>45</v>
      </c>
    </row>
    <row r="19" spans="1:11" ht="24" x14ac:dyDescent="0.2">
      <c r="A19" s="159"/>
      <c r="B19" s="160"/>
      <c r="C19" s="30" t="s">
        <v>37</v>
      </c>
      <c r="D19" s="36" t="s">
        <v>46</v>
      </c>
      <c r="E19" s="28" t="s">
        <v>47</v>
      </c>
      <c r="F19" s="31" t="s">
        <v>48</v>
      </c>
      <c r="G19" s="37" t="s">
        <v>49</v>
      </c>
      <c r="H19" s="163"/>
      <c r="I19" s="196"/>
    </row>
    <row r="20" spans="1:11" ht="18.75" x14ac:dyDescent="0.2">
      <c r="A20" s="159"/>
      <c r="B20" s="160"/>
      <c r="C20" s="76">
        <f>200/20000*G20</f>
        <v>100</v>
      </c>
      <c r="D20" s="77">
        <v>0.06</v>
      </c>
      <c r="E20" s="38">
        <v>0</v>
      </c>
      <c r="F20" s="59">
        <v>0.13</v>
      </c>
      <c r="G20" s="75">
        <v>10000</v>
      </c>
      <c r="H20" s="39">
        <f>I17/G20+B11+B11*F18</f>
        <v>2.7785297548182766</v>
      </c>
      <c r="I20" s="65">
        <f>(H20/(1-D20)+C18+E18+E20/G20+C20/G20+C22*D22+D18*G11)*(1+F20)*(1+E22+F22)</f>
        <v>3.48563072383268</v>
      </c>
    </row>
    <row r="21" spans="1:11" x14ac:dyDescent="0.2">
      <c r="A21" s="159"/>
      <c r="B21" s="160"/>
      <c r="C21" s="100" t="s">
        <v>50</v>
      </c>
      <c r="D21" s="100" t="s">
        <v>51</v>
      </c>
      <c r="E21" s="60" t="s">
        <v>52</v>
      </c>
      <c r="F21" s="60" t="s">
        <v>53</v>
      </c>
      <c r="G21" s="60" t="s">
        <v>54</v>
      </c>
      <c r="H21" s="105" t="s">
        <v>55</v>
      </c>
      <c r="I21" s="66" t="s">
        <v>56</v>
      </c>
    </row>
    <row r="22" spans="1:11" ht="18.75" x14ac:dyDescent="0.2">
      <c r="A22" s="161"/>
      <c r="B22" s="162"/>
      <c r="C22" s="106">
        <v>0</v>
      </c>
      <c r="D22" s="74">
        <v>0</v>
      </c>
      <c r="E22" s="61">
        <v>7.0000000000000001E-3</v>
      </c>
      <c r="F22" s="61">
        <v>0</v>
      </c>
      <c r="G22" s="62">
        <v>0.15</v>
      </c>
      <c r="H22" s="39">
        <f>(H20+C18+E18+E20/G20+C20/G20+C22*D22+D18*G11)*(1+F20)*(1+E22+F22)</f>
        <v>3.2838190136217054</v>
      </c>
      <c r="I22" s="65">
        <f>I20+(I20-H22)*G22</f>
        <v>3.5159024803643262</v>
      </c>
    </row>
    <row r="23" spans="1:11" ht="25.5" x14ac:dyDescent="0.2">
      <c r="A23" s="164" t="s">
        <v>0</v>
      </c>
      <c r="B23" s="164"/>
      <c r="C23" s="164"/>
      <c r="D23" s="164"/>
      <c r="E23" s="164"/>
      <c r="F23" s="164"/>
      <c r="G23" s="164"/>
      <c r="H23" s="164"/>
      <c r="I23" s="164"/>
    </row>
    <row r="24" spans="1:11" ht="25.5" x14ac:dyDescent="0.15">
      <c r="A24" s="86"/>
      <c r="B24" s="86"/>
      <c r="C24" s="86"/>
      <c r="D24" s="86"/>
      <c r="F24" s="87"/>
      <c r="G24" s="87"/>
      <c r="H24" s="87" t="s">
        <v>1</v>
      </c>
      <c r="I24" s="88" t="s">
        <v>97</v>
      </c>
    </row>
    <row r="25" spans="1:11" x14ac:dyDescent="0.2">
      <c r="A25" s="89" t="s">
        <v>3</v>
      </c>
      <c r="B25" s="165"/>
      <c r="C25" s="165"/>
      <c r="D25" s="165"/>
      <c r="E25" s="165"/>
      <c r="F25" s="165"/>
      <c r="G25" s="90" t="s">
        <v>4</v>
      </c>
      <c r="H25" s="166">
        <v>45173</v>
      </c>
      <c r="I25" s="166"/>
    </row>
    <row r="26" spans="1:11" x14ac:dyDescent="0.2">
      <c r="A26" s="89" t="s">
        <v>5</v>
      </c>
      <c r="B26" s="167" t="s">
        <v>98</v>
      </c>
      <c r="C26" s="168"/>
      <c r="D26" s="168"/>
      <c r="E26" s="168"/>
      <c r="F26" s="169"/>
      <c r="G26" s="90" t="s">
        <v>7</v>
      </c>
      <c r="H26" s="186" t="s">
        <v>99</v>
      </c>
      <c r="I26" s="186"/>
    </row>
    <row r="27" spans="1:11" x14ac:dyDescent="0.2">
      <c r="A27" s="187" t="s">
        <v>9</v>
      </c>
      <c r="B27" s="188" t="s">
        <v>10</v>
      </c>
      <c r="C27" s="193" t="s">
        <v>11</v>
      </c>
      <c r="D27" s="193"/>
      <c r="E27" s="193"/>
      <c r="F27" s="193"/>
      <c r="G27" s="89" t="s">
        <v>12</v>
      </c>
      <c r="H27" s="89" t="s">
        <v>13</v>
      </c>
      <c r="I27" s="89" t="s">
        <v>14</v>
      </c>
    </row>
    <row r="28" spans="1:11" ht="15.75" x14ac:dyDescent="0.2">
      <c r="A28" s="187"/>
      <c r="B28" s="187"/>
      <c r="C28" s="193"/>
      <c r="D28" s="193"/>
      <c r="E28" s="193"/>
      <c r="F28" s="193"/>
      <c r="G28" s="89" t="s">
        <v>15</v>
      </c>
      <c r="H28" s="91" t="s">
        <v>16</v>
      </c>
      <c r="I28" s="91" t="s">
        <v>17</v>
      </c>
    </row>
    <row r="29" spans="1:11" ht="15.75" x14ac:dyDescent="0.15">
      <c r="A29" s="8" t="s">
        <v>18</v>
      </c>
      <c r="B29" s="9" t="s">
        <v>19</v>
      </c>
      <c r="C29" s="194" t="s">
        <v>100</v>
      </c>
      <c r="D29" s="194"/>
      <c r="E29" s="194"/>
      <c r="F29" s="194"/>
      <c r="G29" s="10">
        <f>0.19^2*0.7854*8.89/10*24*1.015^3*2</f>
        <v>1.2651418552618965</v>
      </c>
      <c r="H29" s="63">
        <f>(J29+1300)/1.13/1000+1.21</f>
        <v>64.307345132743365</v>
      </c>
      <c r="I29" s="92">
        <f t="shared" ref="I29:I34" si="0">G29*H29</f>
        <v>81.357913928206031</v>
      </c>
      <c r="J29" s="55">
        <v>70000</v>
      </c>
      <c r="K29" s="53"/>
    </row>
    <row r="30" spans="1:11" ht="15.75" x14ac:dyDescent="0.2">
      <c r="A30" s="8"/>
      <c r="B30" s="9" t="s">
        <v>19</v>
      </c>
      <c r="C30" s="194" t="s">
        <v>101</v>
      </c>
      <c r="D30" s="194"/>
      <c r="E30" s="194"/>
      <c r="F30" s="194"/>
      <c r="G30" s="10">
        <f>0.158^2*0.7854*8.89/10*11*1.015^2*3</f>
        <v>0.59258800475952444</v>
      </c>
      <c r="H30" s="63">
        <f>(J29+1300)/1.13/1000+1.56</f>
        <v>64.657345132743373</v>
      </c>
      <c r="I30" s="92">
        <f t="shared" si="0"/>
        <v>38.315167145260347</v>
      </c>
      <c r="J30"/>
      <c r="K30"/>
    </row>
    <row r="31" spans="1:11" ht="15.75" x14ac:dyDescent="0.2">
      <c r="A31" s="8" t="s">
        <v>20</v>
      </c>
      <c r="B31" s="9" t="s">
        <v>21</v>
      </c>
      <c r="C31" s="194" t="s">
        <v>102</v>
      </c>
      <c r="D31" s="194"/>
      <c r="E31" s="194"/>
      <c r="F31" s="194"/>
      <c r="G31" s="10">
        <f>(2.1^2-1.06^2*0.85)*0.7854*1.52/10*2*1.015*1.015</f>
        <v>0.84983981644863849</v>
      </c>
      <c r="H31" s="64">
        <f>6.36+0.5</f>
        <v>6.86</v>
      </c>
      <c r="I31" s="92">
        <f t="shared" si="0"/>
        <v>5.8299011408376602</v>
      </c>
      <c r="J31" t="s">
        <v>108</v>
      </c>
      <c r="K31"/>
    </row>
    <row r="32" spans="1:11" ht="15.75" x14ac:dyDescent="0.2">
      <c r="A32" s="8"/>
      <c r="B32" s="9" t="s">
        <v>21</v>
      </c>
      <c r="C32" s="194" t="s">
        <v>103</v>
      </c>
      <c r="D32" s="194"/>
      <c r="E32" s="194"/>
      <c r="F32" s="194"/>
      <c r="G32" s="10">
        <f>(1.4^2-0.6^2*0.85)*0.7854*1.47/10*3*1.015</f>
        <v>0.58147498193399982</v>
      </c>
      <c r="H32" s="64">
        <f>7.85+0.5</f>
        <v>8.35</v>
      </c>
      <c r="I32" s="92">
        <f t="shared" si="0"/>
        <v>4.8553160991488982</v>
      </c>
      <c r="J32" t="s">
        <v>108</v>
      </c>
      <c r="K32"/>
    </row>
    <row r="33" spans="1:11" ht="15.75" x14ac:dyDescent="0.2">
      <c r="A33" s="8">
        <v>3</v>
      </c>
      <c r="B33" s="9" t="s">
        <v>104</v>
      </c>
      <c r="C33" s="198" t="s">
        <v>105</v>
      </c>
      <c r="D33" s="199"/>
      <c r="E33" s="199"/>
      <c r="F33" s="200"/>
      <c r="G33" s="10">
        <f>(6.2^2-2.1^2*2)*0.7854*1.47/10*1.015</f>
        <v>3.4710376793400002</v>
      </c>
      <c r="H33" s="64">
        <f>7.59+0.5</f>
        <v>8.09</v>
      </c>
      <c r="I33" s="92">
        <f t="shared" si="0"/>
        <v>28.080694825860601</v>
      </c>
      <c r="J33" t="s">
        <v>108</v>
      </c>
    </row>
    <row r="34" spans="1:11" ht="15.75" x14ac:dyDescent="0.2">
      <c r="A34" s="8">
        <v>4</v>
      </c>
      <c r="B34" s="9" t="s">
        <v>23</v>
      </c>
      <c r="C34" s="194" t="s">
        <v>106</v>
      </c>
      <c r="D34" s="194"/>
      <c r="E34" s="194"/>
      <c r="F34" s="194"/>
      <c r="G34" s="10">
        <f>(9.9^2-6.2^2-1.4^2*3)*0.7854*1.47/10</f>
        <v>6.1987145220000004</v>
      </c>
      <c r="H34" s="64">
        <f>7.59+0.5</f>
        <v>8.09</v>
      </c>
      <c r="I34" s="92">
        <f t="shared" si="0"/>
        <v>50.147600482980003</v>
      </c>
      <c r="J34" t="s">
        <v>108</v>
      </c>
    </row>
    <row r="35" spans="1:11" ht="15.75" x14ac:dyDescent="0.15">
      <c r="A35" s="93" t="s">
        <v>25</v>
      </c>
      <c r="B35" s="94">
        <f>I35/100</f>
        <v>2.0858659362229357</v>
      </c>
      <c r="C35" s="197" t="s">
        <v>26</v>
      </c>
      <c r="D35" s="197"/>
      <c r="E35" s="197"/>
      <c r="F35" s="197"/>
      <c r="G35" s="95">
        <f>SUM(G29:G34)/100</f>
        <v>0.12958796859744059</v>
      </c>
      <c r="H35" s="96" t="s">
        <v>27</v>
      </c>
      <c r="I35" s="97">
        <f>SUM(I29:I34)</f>
        <v>208.58659362229355</v>
      </c>
      <c r="J35" s="56">
        <f>B35*1.13/I50</f>
        <v>0.71455868824093627</v>
      </c>
      <c r="K35" s="57">
        <f>G35*G48</f>
        <v>1295.8796859744059</v>
      </c>
    </row>
    <row r="36" spans="1:11" ht="36" x14ac:dyDescent="0.2">
      <c r="A36" s="17" t="s">
        <v>10</v>
      </c>
      <c r="B36" s="18" t="s">
        <v>28</v>
      </c>
      <c r="C36" s="17" t="s">
        <v>29</v>
      </c>
      <c r="D36" s="17" t="s">
        <v>30</v>
      </c>
      <c r="E36" s="17" t="s">
        <v>31</v>
      </c>
      <c r="F36" s="18" t="s">
        <v>32</v>
      </c>
      <c r="G36" s="18" t="s">
        <v>33</v>
      </c>
      <c r="H36" s="19" t="s">
        <v>34</v>
      </c>
      <c r="I36" s="17" t="s">
        <v>35</v>
      </c>
    </row>
    <row r="37" spans="1:11" ht="15.75" x14ac:dyDescent="0.2">
      <c r="A37" s="9" t="s">
        <v>19</v>
      </c>
      <c r="B37" s="68">
        <f>0.218*2</f>
        <v>0.436</v>
      </c>
      <c r="C37" s="20">
        <v>0</v>
      </c>
      <c r="D37" s="21">
        <v>10</v>
      </c>
      <c r="E37" s="21">
        <f>B37*D37*G48/1000+C37*D37*G46</f>
        <v>43.6</v>
      </c>
      <c r="F37" s="70">
        <v>0.1</v>
      </c>
      <c r="G37" s="98">
        <v>0</v>
      </c>
      <c r="H37" s="24">
        <f>F37*I29</f>
        <v>8.1357913928206038</v>
      </c>
      <c r="I37" s="25">
        <f>E37+H37*G46</f>
        <v>51.735791392820602</v>
      </c>
    </row>
    <row r="38" spans="1:11" ht="15.75" x14ac:dyDescent="0.2">
      <c r="A38" s="9" t="s">
        <v>19</v>
      </c>
      <c r="B38" s="68">
        <f>0.3*3</f>
        <v>0.89999999999999991</v>
      </c>
      <c r="C38" s="20">
        <v>0</v>
      </c>
      <c r="D38" s="21">
        <v>10</v>
      </c>
      <c r="E38" s="21">
        <f>B38*D38*G48/1000+C38*D38*G46</f>
        <v>90</v>
      </c>
      <c r="F38" s="70">
        <v>0.1</v>
      </c>
      <c r="G38" s="98">
        <v>0</v>
      </c>
      <c r="H38" s="24">
        <f>F38*I30</f>
        <v>3.8315167145260349</v>
      </c>
      <c r="I38" s="25">
        <f>E38+H38*G46</f>
        <v>93.831516714526032</v>
      </c>
    </row>
    <row r="39" spans="1:11" ht="15.75" x14ac:dyDescent="0.2">
      <c r="A39" s="9" t="s">
        <v>21</v>
      </c>
      <c r="B39" s="26">
        <f>1000/60/220*2</f>
        <v>0.15151515151515152</v>
      </c>
      <c r="C39" s="20">
        <v>0</v>
      </c>
      <c r="D39" s="21">
        <v>120</v>
      </c>
      <c r="E39" s="21">
        <f>B39*D39*G48/1000+C39*D39*G46</f>
        <v>181.81818181818181</v>
      </c>
      <c r="F39" s="70">
        <v>0.5</v>
      </c>
      <c r="G39" s="72">
        <v>2</v>
      </c>
      <c r="H39" s="24">
        <f>F39*(I31+I29)+G39*H31</f>
        <v>57.313907534521846</v>
      </c>
      <c r="I39" s="25">
        <f>E39+H39*G46</f>
        <v>239.13208935270364</v>
      </c>
    </row>
    <row r="40" spans="1:11" ht="15.75" x14ac:dyDescent="0.2">
      <c r="A40" s="9" t="s">
        <v>21</v>
      </c>
      <c r="B40" s="26">
        <f>1000/60/250*3</f>
        <v>0.2</v>
      </c>
      <c r="C40" s="20">
        <v>0</v>
      </c>
      <c r="D40" s="21">
        <v>110</v>
      </c>
      <c r="E40" s="21">
        <f>B40*D40*G48/1000+C40*D40*G46</f>
        <v>220</v>
      </c>
      <c r="F40" s="70">
        <v>0.5</v>
      </c>
      <c r="G40" s="72">
        <v>2</v>
      </c>
      <c r="H40" s="24">
        <f>F40*(I32+I30)+G40*H32</f>
        <v>38.285241622204623</v>
      </c>
      <c r="I40" s="25">
        <f>E40+H40*G46</f>
        <v>258.28524162220464</v>
      </c>
    </row>
    <row r="41" spans="1:11" ht="15.75" x14ac:dyDescent="0.2">
      <c r="A41" s="9" t="s">
        <v>36</v>
      </c>
      <c r="B41" s="26">
        <f>1000/60/40</f>
        <v>0.41666666666666669</v>
      </c>
      <c r="C41" s="20">
        <v>0</v>
      </c>
      <c r="D41" s="21">
        <v>40</v>
      </c>
      <c r="E41" s="21">
        <f>B41*D41*G48/1000+C41*D41*G46</f>
        <v>166.66666666666669</v>
      </c>
      <c r="F41" s="70">
        <v>0.1</v>
      </c>
      <c r="G41" s="72">
        <v>0</v>
      </c>
      <c r="H41" s="24">
        <f>F41*(I31+I29)</f>
        <v>8.718781506904369</v>
      </c>
      <c r="I41" s="25">
        <f>E41+H41*G46</f>
        <v>175.38544817357106</v>
      </c>
    </row>
    <row r="42" spans="1:11" ht="15.75" x14ac:dyDescent="0.2">
      <c r="A42" s="9" t="s">
        <v>104</v>
      </c>
      <c r="B42" s="26">
        <f>1000/60/40</f>
        <v>0.41666666666666669</v>
      </c>
      <c r="C42" s="20">
        <v>0</v>
      </c>
      <c r="D42" s="21">
        <v>140</v>
      </c>
      <c r="E42" s="21">
        <f>B42*D42*G48/1000+C42*D42*G46</f>
        <v>583.33333333333337</v>
      </c>
      <c r="F42" s="70">
        <v>0.5</v>
      </c>
      <c r="G42" s="72">
        <v>2</v>
      </c>
      <c r="H42" s="24">
        <f>F42*(I29+I31+I33)+G42*H33</f>
        <v>73.814254947452156</v>
      </c>
      <c r="I42" s="25">
        <f>E42+H42*G46</f>
        <v>657.1475882807855</v>
      </c>
    </row>
    <row r="43" spans="1:11" ht="15.75" x14ac:dyDescent="0.2">
      <c r="A43" s="9" t="s">
        <v>36</v>
      </c>
      <c r="B43" s="26">
        <f>1000/60/30</f>
        <v>0.55555555555555558</v>
      </c>
      <c r="C43" s="20">
        <v>0</v>
      </c>
      <c r="D43" s="21">
        <v>40</v>
      </c>
      <c r="E43" s="21">
        <f>B43*D43*G48/1000+C43*D43*G46</f>
        <v>222.22222222222223</v>
      </c>
      <c r="F43" s="70">
        <v>0.1</v>
      </c>
      <c r="G43" s="72">
        <v>0</v>
      </c>
      <c r="H43" s="24">
        <f>F43*(I35-I34)</f>
        <v>15.843899313931354</v>
      </c>
      <c r="I43" s="25">
        <f>E43+H43*G46</f>
        <v>238.06612153615359</v>
      </c>
    </row>
    <row r="44" spans="1:11" ht="15.75" x14ac:dyDescent="0.2">
      <c r="A44" s="9" t="s">
        <v>23</v>
      </c>
      <c r="B44" s="26">
        <f>1000/60/30</f>
        <v>0.55555555555555558</v>
      </c>
      <c r="C44" s="20">
        <v>0</v>
      </c>
      <c r="D44" s="21">
        <v>150</v>
      </c>
      <c r="E44" s="21">
        <f>B44*D44*G48/1000+C44*D44*G46</f>
        <v>833.33333333333337</v>
      </c>
      <c r="F44" s="70">
        <v>2</v>
      </c>
      <c r="G44" s="72">
        <v>5</v>
      </c>
      <c r="H44" s="24">
        <f>F44*I35+G44*H34</f>
        <v>457.62318724458709</v>
      </c>
      <c r="I44" s="25">
        <f>E44+H44*G46</f>
        <v>1290.9565205779204</v>
      </c>
    </row>
    <row r="45" spans="1:11" ht="24" x14ac:dyDescent="0.2">
      <c r="A45" s="157" t="s">
        <v>37</v>
      </c>
      <c r="B45" s="158"/>
      <c r="C45" s="28" t="s">
        <v>38</v>
      </c>
      <c r="D45" s="28" t="s">
        <v>39</v>
      </c>
      <c r="E45" s="28" t="s">
        <v>40</v>
      </c>
      <c r="F45" s="100" t="s">
        <v>41</v>
      </c>
      <c r="G45" s="60" t="s">
        <v>42</v>
      </c>
      <c r="H45" s="31" t="s">
        <v>43</v>
      </c>
      <c r="I45" s="32">
        <f>SUM(I37:I44)</f>
        <v>3004.5403176506852</v>
      </c>
    </row>
    <row r="46" spans="1:11" ht="15" x14ac:dyDescent="0.2">
      <c r="A46" s="159"/>
      <c r="B46" s="160"/>
      <c r="C46" s="58">
        <v>0</v>
      </c>
      <c r="D46" s="58">
        <v>0.85</v>
      </c>
      <c r="E46" s="33">
        <v>0.15</v>
      </c>
      <c r="F46" s="103">
        <v>0.03</v>
      </c>
      <c r="G46" s="104">
        <v>1</v>
      </c>
      <c r="H46" s="163" t="s">
        <v>44</v>
      </c>
      <c r="I46" s="195" t="s">
        <v>45</v>
      </c>
    </row>
    <row r="47" spans="1:11" ht="24" x14ac:dyDescent="0.2">
      <c r="A47" s="159"/>
      <c r="B47" s="160"/>
      <c r="C47" s="30" t="s">
        <v>37</v>
      </c>
      <c r="D47" s="36" t="s">
        <v>46</v>
      </c>
      <c r="E47" s="28" t="s">
        <v>47</v>
      </c>
      <c r="F47" s="31" t="s">
        <v>48</v>
      </c>
      <c r="G47" s="37" t="s">
        <v>49</v>
      </c>
      <c r="H47" s="163"/>
      <c r="I47" s="196"/>
    </row>
    <row r="48" spans="1:11" ht="18.75" x14ac:dyDescent="0.2">
      <c r="A48" s="159"/>
      <c r="B48" s="160"/>
      <c r="C48" s="76">
        <f>200/20000*G48</f>
        <v>100</v>
      </c>
      <c r="D48" s="77">
        <v>0.06</v>
      </c>
      <c r="E48" s="38">
        <v>0</v>
      </c>
      <c r="F48" s="59">
        <v>0.13</v>
      </c>
      <c r="G48" s="75">
        <v>10000</v>
      </c>
      <c r="H48" s="39">
        <f>I45/G48+B35+B35*F46</f>
        <v>2.4488959460746922</v>
      </c>
      <c r="I48" s="65">
        <f>(H48/(1-D48)+C46+E46+E48/G48+C48/G48+C50*D50+D46*G35)*(1+F48)*(1+E50+F50)</f>
        <v>3.271898879606252</v>
      </c>
    </row>
    <row r="49" spans="1:9" x14ac:dyDescent="0.2">
      <c r="A49" s="159"/>
      <c r="B49" s="160"/>
      <c r="C49" s="100" t="s">
        <v>50</v>
      </c>
      <c r="D49" s="100" t="s">
        <v>51</v>
      </c>
      <c r="E49" s="60" t="s">
        <v>52</v>
      </c>
      <c r="F49" s="60" t="s">
        <v>53</v>
      </c>
      <c r="G49" s="60" t="s">
        <v>54</v>
      </c>
      <c r="H49" s="105" t="s">
        <v>55</v>
      </c>
      <c r="I49" s="66" t="s">
        <v>56</v>
      </c>
    </row>
    <row r="50" spans="1:9" ht="18.75" x14ac:dyDescent="0.2">
      <c r="A50" s="161"/>
      <c r="B50" s="162"/>
      <c r="C50" s="106">
        <v>0</v>
      </c>
      <c r="D50" s="74">
        <v>0</v>
      </c>
      <c r="E50" s="61">
        <v>7.0000000000000001E-3</v>
      </c>
      <c r="F50" s="61">
        <v>0</v>
      </c>
      <c r="G50" s="62">
        <v>0.15</v>
      </c>
      <c r="H50" s="39">
        <f>(H48+C46+E46+E48/G48+C48/G48+C50*D50+D46*G35)*(1+F48)*(1+E50+F50)</f>
        <v>3.0940293145425586</v>
      </c>
      <c r="I50" s="65">
        <f>I48+(I48-H50)*G50</f>
        <v>3.298579314365806</v>
      </c>
    </row>
  </sheetData>
  <mergeCells count="35">
    <mergeCell ref="C10:F10"/>
    <mergeCell ref="C11:F11"/>
    <mergeCell ref="A17:B22"/>
    <mergeCell ref="A1:I1"/>
    <mergeCell ref="B3:F3"/>
    <mergeCell ref="H3:I3"/>
    <mergeCell ref="B4:F4"/>
    <mergeCell ref="H4:I4"/>
    <mergeCell ref="A5:A6"/>
    <mergeCell ref="B5:B6"/>
    <mergeCell ref="C5:F6"/>
    <mergeCell ref="A45:B50"/>
    <mergeCell ref="H46:H47"/>
    <mergeCell ref="A27:A28"/>
    <mergeCell ref="B27:B28"/>
    <mergeCell ref="C27:F28"/>
    <mergeCell ref="C29:F29"/>
    <mergeCell ref="C30:F30"/>
    <mergeCell ref="C31:F31"/>
    <mergeCell ref="I46:I47"/>
    <mergeCell ref="J1:K2"/>
    <mergeCell ref="C32:F32"/>
    <mergeCell ref="C33:F33"/>
    <mergeCell ref="C34:F34"/>
    <mergeCell ref="C35:F35"/>
    <mergeCell ref="H18:H19"/>
    <mergeCell ref="I18:I19"/>
    <mergeCell ref="A23:I23"/>
    <mergeCell ref="B25:F25"/>
    <mergeCell ref="H25:I25"/>
    <mergeCell ref="B26:F26"/>
    <mergeCell ref="H26:I26"/>
    <mergeCell ref="C7:F7"/>
    <mergeCell ref="C8:F8"/>
    <mergeCell ref="C9:F9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CF35-3D24-4D75-A17E-E8F277EAEEFA}">
  <dimension ref="A1:L22"/>
  <sheetViews>
    <sheetView workbookViewId="0">
      <selection activeCell="N20" sqref="N20"/>
    </sheetView>
  </sheetViews>
  <sheetFormatPr defaultRowHeight="14.25" x14ac:dyDescent="0.2"/>
  <cols>
    <col min="4" max="4" width="10.5" bestFit="1" customWidth="1"/>
    <col min="7" max="7" width="10.875" customWidth="1"/>
    <col min="8" max="8" width="17" customWidth="1"/>
    <col min="9" max="9" width="14.375" customWidth="1"/>
  </cols>
  <sheetData>
    <row r="1" spans="1:12" ht="25.5" x14ac:dyDescent="0.2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0" t="s">
        <v>64</v>
      </c>
      <c r="K1" s="170"/>
      <c r="L1" t="s">
        <v>107</v>
      </c>
    </row>
    <row r="2" spans="1:12" ht="25.5" x14ac:dyDescent="0.2">
      <c r="A2" s="67"/>
      <c r="B2" s="67"/>
      <c r="C2" s="67"/>
      <c r="D2" s="67"/>
      <c r="E2" s="43"/>
      <c r="F2" s="3"/>
      <c r="G2" s="3"/>
      <c r="H2" s="3" t="s">
        <v>1</v>
      </c>
      <c r="I2" s="45" t="s">
        <v>115</v>
      </c>
      <c r="J2" s="170"/>
      <c r="K2" s="170"/>
    </row>
    <row r="3" spans="1:12" ht="15" x14ac:dyDescent="0.2">
      <c r="A3" s="6" t="s">
        <v>3</v>
      </c>
      <c r="B3" s="179" t="s">
        <v>116</v>
      </c>
      <c r="C3" s="180"/>
      <c r="D3" s="180"/>
      <c r="E3" s="180"/>
      <c r="F3" s="181"/>
      <c r="G3" s="46" t="s">
        <v>4</v>
      </c>
      <c r="H3" s="182">
        <v>45314</v>
      </c>
      <c r="I3" s="183"/>
      <c r="J3" s="53" t="s">
        <v>65</v>
      </c>
      <c r="K3" s="53"/>
    </row>
    <row r="4" spans="1:12" x14ac:dyDescent="0.2">
      <c r="A4" s="6" t="s">
        <v>5</v>
      </c>
      <c r="B4" s="189" t="s">
        <v>117</v>
      </c>
      <c r="C4" s="190"/>
      <c r="D4" s="190"/>
      <c r="E4" s="190"/>
      <c r="F4" s="191"/>
      <c r="G4" s="6" t="s">
        <v>7</v>
      </c>
      <c r="H4" s="192" t="s">
        <v>118</v>
      </c>
      <c r="I4" s="192"/>
    </row>
    <row r="5" spans="1:12" x14ac:dyDescent="0.2">
      <c r="A5" s="150" t="s">
        <v>9</v>
      </c>
      <c r="B5" s="151" t="s">
        <v>10</v>
      </c>
      <c r="C5" s="152" t="s">
        <v>11</v>
      </c>
      <c r="D5" s="152"/>
      <c r="E5" s="152"/>
      <c r="F5" s="152"/>
      <c r="G5" s="6" t="s">
        <v>12</v>
      </c>
      <c r="H5" s="6" t="s">
        <v>13</v>
      </c>
      <c r="I5" s="6" t="s">
        <v>14</v>
      </c>
    </row>
    <row r="6" spans="1:12" ht="15.75" x14ac:dyDescent="0.2">
      <c r="A6" s="150"/>
      <c r="B6" s="150"/>
      <c r="C6" s="152"/>
      <c r="D6" s="152"/>
      <c r="E6" s="152"/>
      <c r="F6" s="152"/>
      <c r="G6" s="6" t="s">
        <v>15</v>
      </c>
      <c r="H6" s="7" t="s">
        <v>16</v>
      </c>
      <c r="I6" s="7" t="s">
        <v>17</v>
      </c>
    </row>
    <row r="7" spans="1:12" ht="15.75" x14ac:dyDescent="0.2">
      <c r="A7" s="46">
        <v>1</v>
      </c>
      <c r="B7" s="47" t="s">
        <v>19</v>
      </c>
      <c r="C7" s="153" t="s">
        <v>119</v>
      </c>
      <c r="D7" s="154"/>
      <c r="E7" s="154"/>
      <c r="F7" s="155"/>
      <c r="G7" s="48">
        <f>0.19^2*24*0.7854*8.89/10*5*1.015*1.015</f>
        <v>3.1161129439948199</v>
      </c>
      <c r="H7" s="63">
        <f>(J7+1300)/1.13/1000+1.18</f>
        <v>64.277345132743378</v>
      </c>
      <c r="I7" s="11">
        <f>G7*H7</f>
        <v>200.29546717376408</v>
      </c>
      <c r="J7" s="55">
        <v>70000</v>
      </c>
    </row>
    <row r="8" spans="1:12" ht="15.75" x14ac:dyDescent="0.2">
      <c r="A8" s="46">
        <v>2</v>
      </c>
      <c r="B8" s="47" t="s">
        <v>21</v>
      </c>
      <c r="C8" s="153" t="s">
        <v>120</v>
      </c>
      <c r="D8" s="154"/>
      <c r="E8" s="154"/>
      <c r="F8" s="155"/>
      <c r="G8" s="48">
        <f>(2.3^2-1.09^2*0.85)*0.7854*1.53/10*5*1.015</f>
        <v>2.6102001621984745</v>
      </c>
      <c r="H8" s="64">
        <f>5.99+0.5</f>
        <v>6.49</v>
      </c>
      <c r="I8" s="11">
        <f>G8*H8</f>
        <v>16.940199052668099</v>
      </c>
    </row>
    <row r="9" spans="1:12" ht="15.75" x14ac:dyDescent="0.2">
      <c r="A9" s="46">
        <v>3</v>
      </c>
      <c r="B9" s="47" t="s">
        <v>121</v>
      </c>
      <c r="C9" s="201" t="s">
        <v>122</v>
      </c>
      <c r="D9" s="154"/>
      <c r="E9" s="154"/>
      <c r="F9" s="155"/>
      <c r="G9" s="48">
        <f>1.138/10</f>
        <v>0.11379999999999998</v>
      </c>
      <c r="H9" s="64">
        <v>15.19</v>
      </c>
      <c r="I9" s="11">
        <f>G9*H9</f>
        <v>1.7286219999999997</v>
      </c>
    </row>
    <row r="10" spans="1:12" ht="15.75" x14ac:dyDescent="0.2">
      <c r="A10" s="46">
        <v>4</v>
      </c>
      <c r="B10" s="46" t="s">
        <v>23</v>
      </c>
      <c r="C10" s="153" t="s">
        <v>123</v>
      </c>
      <c r="D10" s="154"/>
      <c r="E10" s="154"/>
      <c r="F10" s="155"/>
      <c r="G10" s="48">
        <f>(8.05^2-6.21^2*0.85)*0.7854*1.47/10</f>
        <v>3.6971787692070017</v>
      </c>
      <c r="H10" s="64">
        <f>7.14+0.5</f>
        <v>7.64</v>
      </c>
      <c r="I10" s="11">
        <f>G10*H10</f>
        <v>28.246445796741494</v>
      </c>
    </row>
    <row r="11" spans="1:12" ht="15.75" x14ac:dyDescent="0.2">
      <c r="A11" s="12" t="s">
        <v>25</v>
      </c>
      <c r="B11" s="13">
        <f>I11/100</f>
        <v>2.4721073402317368</v>
      </c>
      <c r="C11" s="156" t="s">
        <v>26</v>
      </c>
      <c r="D11" s="156"/>
      <c r="E11" s="156"/>
      <c r="F11" s="156"/>
      <c r="G11" s="14">
        <f>SUM(G7:G10)/100</f>
        <v>9.5372918754002958E-2</v>
      </c>
      <c r="H11" s="15" t="s">
        <v>27</v>
      </c>
      <c r="I11" s="16">
        <f>SUM(I7:I10)</f>
        <v>247.21073402317367</v>
      </c>
      <c r="J11" s="56">
        <f>B11*1.13/I22</f>
        <v>0.79507523185620066</v>
      </c>
      <c r="K11" s="57">
        <f>G11*G20</f>
        <v>953.72918754002956</v>
      </c>
    </row>
    <row r="12" spans="1:12" ht="36" x14ac:dyDescent="0.2">
      <c r="A12" s="17" t="s">
        <v>10</v>
      </c>
      <c r="B12" s="18" t="s">
        <v>28</v>
      </c>
      <c r="C12" s="17" t="s">
        <v>29</v>
      </c>
      <c r="D12" s="17" t="s">
        <v>30</v>
      </c>
      <c r="E12" s="17" t="s">
        <v>31</v>
      </c>
      <c r="F12" s="18" t="s">
        <v>32</v>
      </c>
      <c r="G12" s="18" t="s">
        <v>33</v>
      </c>
      <c r="H12" s="19" t="s">
        <v>34</v>
      </c>
      <c r="I12" s="17" t="s">
        <v>35</v>
      </c>
    </row>
    <row r="13" spans="1:12" ht="15.75" x14ac:dyDescent="0.2">
      <c r="A13" s="46" t="s">
        <v>19</v>
      </c>
      <c r="B13" s="68">
        <f>0.24*5</f>
        <v>1.2</v>
      </c>
      <c r="C13" s="20">
        <v>0</v>
      </c>
      <c r="D13" s="21">
        <v>14</v>
      </c>
      <c r="E13" s="69">
        <f>B13*D13*G20/1000+C13*D13*G18</f>
        <v>168</v>
      </c>
      <c r="F13" s="70">
        <v>1</v>
      </c>
      <c r="G13" s="71">
        <v>0</v>
      </c>
      <c r="H13" s="99">
        <f>F13*I7</f>
        <v>200.29546717376408</v>
      </c>
      <c r="I13" s="21">
        <f>E13+H13*G18</f>
        <v>368.29546717376411</v>
      </c>
    </row>
    <row r="14" spans="1:12" ht="15.75" x14ac:dyDescent="0.2">
      <c r="A14" s="46" t="s">
        <v>21</v>
      </c>
      <c r="B14" s="68">
        <f>1000/60/200*5</f>
        <v>0.41666666666666674</v>
      </c>
      <c r="C14" s="20">
        <v>0</v>
      </c>
      <c r="D14" s="21">
        <v>120</v>
      </c>
      <c r="E14" s="69">
        <f>B14*D14*G20/1000+C14*D14*G18</f>
        <v>500.00000000000006</v>
      </c>
      <c r="F14" s="70">
        <v>1.5</v>
      </c>
      <c r="G14" s="72">
        <v>2</v>
      </c>
      <c r="H14" s="99">
        <f>F14*(I8+I7)+G14*H8</f>
        <v>338.83349933964831</v>
      </c>
      <c r="I14" s="21">
        <f>E14+H14*G18</f>
        <v>838.83349933964837</v>
      </c>
    </row>
    <row r="15" spans="1:12" ht="15.75" x14ac:dyDescent="0.2">
      <c r="A15" s="46" t="s">
        <v>36</v>
      </c>
      <c r="B15" s="68">
        <f>1000/60/30</f>
        <v>0.55555555555555558</v>
      </c>
      <c r="C15" s="20">
        <v>0</v>
      </c>
      <c r="D15" s="21">
        <v>40</v>
      </c>
      <c r="E15" s="69">
        <f>B15*D15*G20/1000+C15*D15*G18</f>
        <v>222.22222222222223</v>
      </c>
      <c r="F15" s="70">
        <v>0.2</v>
      </c>
      <c r="G15" s="72">
        <v>0</v>
      </c>
      <c r="H15" s="99">
        <f>F15*(I8+I7+I9)</f>
        <v>43.792857645286439</v>
      </c>
      <c r="I15" s="21">
        <f>E15+H15*G18</f>
        <v>266.01507986750869</v>
      </c>
    </row>
    <row r="16" spans="1:12" ht="15.75" x14ac:dyDescent="0.2">
      <c r="A16" s="46" t="s">
        <v>23</v>
      </c>
      <c r="B16" s="68">
        <f>1000/60/40</f>
        <v>0.41666666666666669</v>
      </c>
      <c r="C16" s="20">
        <v>0</v>
      </c>
      <c r="D16" s="21">
        <v>150</v>
      </c>
      <c r="E16" s="69">
        <f>B16*D16*G20/1000+C16*D16*G18</f>
        <v>625</v>
      </c>
      <c r="F16" s="70">
        <v>1</v>
      </c>
      <c r="G16" s="72">
        <v>10</v>
      </c>
      <c r="H16" s="99">
        <f>F16*I11+G16*H10</f>
        <v>323.61073402317368</v>
      </c>
      <c r="I16" s="21">
        <f>E16+H16*G18</f>
        <v>948.61073402317368</v>
      </c>
    </row>
    <row r="17" spans="1:11" ht="24" x14ac:dyDescent="0.2">
      <c r="A17" s="157" t="s">
        <v>37</v>
      </c>
      <c r="B17" s="158"/>
      <c r="C17" s="28" t="s">
        <v>38</v>
      </c>
      <c r="D17" s="28" t="s">
        <v>39</v>
      </c>
      <c r="E17" s="28" t="s">
        <v>40</v>
      </c>
      <c r="F17" s="29" t="s">
        <v>41</v>
      </c>
      <c r="G17" s="30" t="s">
        <v>42</v>
      </c>
      <c r="H17" s="31" t="s">
        <v>43</v>
      </c>
      <c r="I17" s="32">
        <f>SUM(I13:I16)</f>
        <v>2421.7547804040951</v>
      </c>
    </row>
    <row r="18" spans="1:11" ht="15" x14ac:dyDescent="0.2">
      <c r="A18" s="159"/>
      <c r="B18" s="160"/>
      <c r="C18" s="58">
        <v>0</v>
      </c>
      <c r="D18" s="58">
        <v>0.85</v>
      </c>
      <c r="E18" s="33">
        <v>0.02</v>
      </c>
      <c r="F18" s="34">
        <v>0.02</v>
      </c>
      <c r="G18" s="35">
        <v>1</v>
      </c>
      <c r="H18" s="163" t="s">
        <v>44</v>
      </c>
      <c r="I18" s="143" t="s">
        <v>45</v>
      </c>
    </row>
    <row r="19" spans="1:11" ht="24" x14ac:dyDescent="0.2">
      <c r="A19" s="159"/>
      <c r="B19" s="160"/>
      <c r="C19" s="30" t="s">
        <v>37</v>
      </c>
      <c r="D19" s="36" t="s">
        <v>46</v>
      </c>
      <c r="E19" s="28" t="s">
        <v>47</v>
      </c>
      <c r="F19" s="31" t="s">
        <v>48</v>
      </c>
      <c r="G19" s="37" t="s">
        <v>49</v>
      </c>
      <c r="H19" s="163"/>
      <c r="I19" s="144"/>
    </row>
    <row r="20" spans="1:11" ht="18.75" x14ac:dyDescent="0.2">
      <c r="A20" s="159"/>
      <c r="B20" s="160"/>
      <c r="C20" s="76">
        <v>200</v>
      </c>
      <c r="D20" s="82">
        <v>0.06</v>
      </c>
      <c r="E20" s="38">
        <v>0</v>
      </c>
      <c r="F20" s="59">
        <v>0.13</v>
      </c>
      <c r="G20" s="75">
        <v>10000</v>
      </c>
      <c r="H20" s="39">
        <f>I17/G20+B11+B11*F18</f>
        <v>2.763724965076781</v>
      </c>
      <c r="I20" s="65">
        <f>(H20/(1-D20)+C18+E18+E20/G20+C20/G20+C22*D22+D18*G11)*(1+F20)*(1+E22+F22)</f>
        <v>3.4833700038255686</v>
      </c>
    </row>
    <row r="21" spans="1:11" x14ac:dyDescent="0.2">
      <c r="A21" s="159"/>
      <c r="B21" s="160"/>
      <c r="C21" s="29" t="s">
        <v>50</v>
      </c>
      <c r="D21" s="29" t="s">
        <v>51</v>
      </c>
      <c r="E21" s="60" t="s">
        <v>52</v>
      </c>
      <c r="F21" s="60" t="s">
        <v>53</v>
      </c>
      <c r="G21" s="60" t="s">
        <v>54</v>
      </c>
      <c r="H21" s="40" t="s">
        <v>55</v>
      </c>
      <c r="I21" s="66" t="s">
        <v>56</v>
      </c>
    </row>
    <row r="22" spans="1:11" ht="18.75" x14ac:dyDescent="0.2">
      <c r="A22" s="161"/>
      <c r="B22" s="162"/>
      <c r="C22" s="41">
        <v>0</v>
      </c>
      <c r="D22" s="42">
        <v>0</v>
      </c>
      <c r="E22" s="61">
        <v>7.0000000000000001E-3</v>
      </c>
      <c r="F22" s="61">
        <v>0</v>
      </c>
      <c r="G22" s="62">
        <v>0.15</v>
      </c>
      <c r="H22" s="39">
        <f>(H20+C18+E18+E20/G20+C20/G20+C22*D22+D18*G11)*(1+F20)*(1+E22+F22)</f>
        <v>3.2826336032929815</v>
      </c>
      <c r="I22" s="65">
        <f>I20+(I20-H22)*G22</f>
        <v>3.5134804639054567</v>
      </c>
      <c r="K22" s="108"/>
    </row>
  </sheetData>
  <mergeCells count="17">
    <mergeCell ref="A17:B22"/>
    <mergeCell ref="A1:I1"/>
    <mergeCell ref="B3:F3"/>
    <mergeCell ref="H3:I3"/>
    <mergeCell ref="B4:F4"/>
    <mergeCell ref="H4:I4"/>
    <mergeCell ref="A5:A6"/>
    <mergeCell ref="B5:B6"/>
    <mergeCell ref="C5:F6"/>
    <mergeCell ref="H18:H19"/>
    <mergeCell ref="I18:I19"/>
    <mergeCell ref="C11:F11"/>
    <mergeCell ref="J1:K2"/>
    <mergeCell ref="C7:F7"/>
    <mergeCell ref="C8:F8"/>
    <mergeCell ref="C9:F9"/>
    <mergeCell ref="C10:F10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7A0F-C946-4EEE-A226-A773D8B1A0D6}">
  <dimension ref="A1:Z42"/>
  <sheetViews>
    <sheetView workbookViewId="0">
      <selection activeCell="I31" sqref="I31"/>
    </sheetView>
  </sheetViews>
  <sheetFormatPr defaultRowHeight="14.25" x14ac:dyDescent="0.2"/>
  <cols>
    <col min="9" max="9" width="19.125" customWidth="1"/>
    <col min="24" max="24" width="11.75" customWidth="1"/>
  </cols>
  <sheetData>
    <row r="1" spans="1:26" ht="25.5" x14ac:dyDescent="0.2">
      <c r="A1" s="172" t="s">
        <v>0</v>
      </c>
      <c r="B1" s="172"/>
      <c r="C1" s="172"/>
      <c r="D1" s="172"/>
      <c r="E1" s="172"/>
      <c r="F1" s="172"/>
      <c r="G1" s="172"/>
      <c r="H1" s="172"/>
      <c r="I1" s="172"/>
      <c r="J1" s="170" t="s">
        <v>64</v>
      </c>
      <c r="K1" s="170"/>
      <c r="L1" t="s">
        <v>107</v>
      </c>
      <c r="M1" t="s">
        <v>126</v>
      </c>
      <c r="P1" s="172" t="s">
        <v>0</v>
      </c>
      <c r="Q1" s="172"/>
      <c r="R1" s="172"/>
      <c r="S1" s="172"/>
      <c r="T1" s="172"/>
      <c r="U1" s="172"/>
      <c r="V1" s="172"/>
      <c r="W1" s="172"/>
      <c r="X1" s="172"/>
      <c r="Y1" s="170" t="s">
        <v>64</v>
      </c>
      <c r="Z1" s="170"/>
    </row>
    <row r="2" spans="1:26" ht="25.5" x14ac:dyDescent="0.2">
      <c r="A2" s="2"/>
      <c r="B2" s="2"/>
      <c r="C2" s="2"/>
      <c r="D2" s="2"/>
      <c r="E2" s="43"/>
      <c r="F2" s="3"/>
      <c r="G2" s="44"/>
      <c r="H2" s="3" t="s">
        <v>1</v>
      </c>
      <c r="I2" s="45" t="s">
        <v>58</v>
      </c>
      <c r="J2" s="170"/>
      <c r="K2" s="170"/>
      <c r="M2" t="s">
        <v>127</v>
      </c>
      <c r="P2" s="2"/>
      <c r="Q2" s="2"/>
      <c r="R2" s="2"/>
      <c r="S2" s="2"/>
      <c r="T2" s="43"/>
      <c r="U2" s="3"/>
      <c r="V2" s="44"/>
      <c r="W2" s="3" t="s">
        <v>1</v>
      </c>
      <c r="X2" s="45" t="s">
        <v>58</v>
      </c>
      <c r="Y2" s="170"/>
      <c r="Z2" s="170"/>
    </row>
    <row r="3" spans="1:26" ht="15" x14ac:dyDescent="0.2">
      <c r="A3" s="6" t="s">
        <v>3</v>
      </c>
      <c r="B3" s="152"/>
      <c r="C3" s="152"/>
      <c r="D3" s="152"/>
      <c r="E3" s="152"/>
      <c r="F3" s="152"/>
      <c r="G3" s="6" t="s">
        <v>4</v>
      </c>
      <c r="H3" s="185">
        <v>45133</v>
      </c>
      <c r="I3" s="185"/>
      <c r="J3" s="53" t="s">
        <v>65</v>
      </c>
      <c r="K3" s="53"/>
      <c r="P3" s="6" t="s">
        <v>3</v>
      </c>
      <c r="Q3" s="152"/>
      <c r="R3" s="152"/>
      <c r="S3" s="152"/>
      <c r="T3" s="152"/>
      <c r="U3" s="152"/>
      <c r="V3" s="6" t="s">
        <v>4</v>
      </c>
      <c r="W3" s="185">
        <v>45133</v>
      </c>
      <c r="X3" s="185"/>
      <c r="Y3" s="53" t="s">
        <v>65</v>
      </c>
      <c r="Z3" s="53"/>
    </row>
    <row r="4" spans="1:26" x14ac:dyDescent="0.2">
      <c r="A4" s="6" t="s">
        <v>5</v>
      </c>
      <c r="B4" s="145" t="s">
        <v>59</v>
      </c>
      <c r="C4" s="146"/>
      <c r="D4" s="146"/>
      <c r="E4" s="146"/>
      <c r="F4" s="147"/>
      <c r="G4" s="6" t="s">
        <v>7</v>
      </c>
      <c r="H4" s="148" t="s">
        <v>60</v>
      </c>
      <c r="I4" s="149"/>
      <c r="P4" s="6" t="s">
        <v>5</v>
      </c>
      <c r="Q4" s="145" t="s">
        <v>59</v>
      </c>
      <c r="R4" s="146"/>
      <c r="S4" s="146"/>
      <c r="T4" s="146"/>
      <c r="U4" s="147"/>
      <c r="V4" s="6" t="s">
        <v>7</v>
      </c>
      <c r="W4" s="148" t="s">
        <v>60</v>
      </c>
      <c r="X4" s="149"/>
    </row>
    <row r="5" spans="1:26" x14ac:dyDescent="0.2">
      <c r="A5" s="150" t="s">
        <v>9</v>
      </c>
      <c r="B5" s="151" t="s">
        <v>10</v>
      </c>
      <c r="C5" s="152" t="s">
        <v>11</v>
      </c>
      <c r="D5" s="152"/>
      <c r="E5" s="152"/>
      <c r="F5" s="152"/>
      <c r="G5" s="6" t="s">
        <v>12</v>
      </c>
      <c r="H5" s="6" t="s">
        <v>13</v>
      </c>
      <c r="I5" s="6" t="s">
        <v>14</v>
      </c>
      <c r="P5" s="150" t="s">
        <v>9</v>
      </c>
      <c r="Q5" s="151" t="s">
        <v>10</v>
      </c>
      <c r="R5" s="152" t="s">
        <v>11</v>
      </c>
      <c r="S5" s="152"/>
      <c r="T5" s="152"/>
      <c r="U5" s="152"/>
      <c r="V5" s="6" t="s">
        <v>12</v>
      </c>
      <c r="W5" s="6" t="s">
        <v>13</v>
      </c>
      <c r="X5" s="6" t="s">
        <v>14</v>
      </c>
    </row>
    <row r="6" spans="1:26" ht="15.75" x14ac:dyDescent="0.2">
      <c r="A6" s="150"/>
      <c r="B6" s="150"/>
      <c r="C6" s="152"/>
      <c r="D6" s="152"/>
      <c r="E6" s="152"/>
      <c r="F6" s="152"/>
      <c r="G6" s="6" t="s">
        <v>15</v>
      </c>
      <c r="H6" s="7" t="s">
        <v>16</v>
      </c>
      <c r="I6" s="7" t="s">
        <v>17</v>
      </c>
      <c r="P6" s="150"/>
      <c r="Q6" s="150"/>
      <c r="R6" s="152"/>
      <c r="S6" s="152"/>
      <c r="T6" s="152"/>
      <c r="U6" s="152"/>
      <c r="V6" s="6" t="s">
        <v>15</v>
      </c>
      <c r="W6" s="7" t="s">
        <v>16</v>
      </c>
      <c r="X6" s="7" t="s">
        <v>17</v>
      </c>
    </row>
    <row r="7" spans="1:26" ht="15.75" x14ac:dyDescent="0.2">
      <c r="A7" s="46">
        <v>1</v>
      </c>
      <c r="B7" s="47" t="s">
        <v>19</v>
      </c>
      <c r="C7" s="153" t="s">
        <v>61</v>
      </c>
      <c r="D7" s="154"/>
      <c r="E7" s="154"/>
      <c r="F7" s="155"/>
      <c r="G7" s="48">
        <f>0.158^2*26*0.7854*8.89/10*2*1.015*1.015</f>
        <v>0.93377503780288718</v>
      </c>
      <c r="H7" s="63">
        <f>(J7+1140)/1.13/1000+5.18</f>
        <v>73.445486725663727</v>
      </c>
      <c r="I7" s="11">
        <f>G7*H7</f>
        <v>68.581562143708098</v>
      </c>
      <c r="J7" s="55">
        <v>76000</v>
      </c>
      <c r="K7" s="53"/>
      <c r="L7" s="49"/>
      <c r="P7" s="46">
        <v>1</v>
      </c>
      <c r="Q7" s="47" t="s">
        <v>19</v>
      </c>
      <c r="R7" s="153" t="s">
        <v>61</v>
      </c>
      <c r="S7" s="154"/>
      <c r="T7" s="154"/>
      <c r="U7" s="155"/>
      <c r="V7" s="48">
        <f>0.158^2*26*0.7854*8.89/10*2*1.015*1.015</f>
        <v>0.93377503780288718</v>
      </c>
      <c r="W7" s="63">
        <f>(Y7+1140)/1.13/1000+5.18</f>
        <v>73.445486725663727</v>
      </c>
      <c r="X7" s="11">
        <f>V7*W7</f>
        <v>68.581562143708098</v>
      </c>
      <c r="Y7" s="55">
        <v>76000</v>
      </c>
      <c r="Z7" s="53"/>
    </row>
    <row r="8" spans="1:26" ht="15.75" x14ac:dyDescent="0.2">
      <c r="A8" s="46">
        <v>2</v>
      </c>
      <c r="B8" s="47" t="s">
        <v>21</v>
      </c>
      <c r="C8" s="153" t="s">
        <v>62</v>
      </c>
      <c r="D8" s="154"/>
      <c r="E8" s="154"/>
      <c r="F8" s="155"/>
      <c r="G8" s="48">
        <f>(2^2-0.92^2*0.85)*0.7854*1.47/10*2*1.015</f>
        <v>0.76886882979983995</v>
      </c>
      <c r="H8" s="64">
        <f>9.38+0.3</f>
        <v>9.6800000000000015</v>
      </c>
      <c r="I8" s="11">
        <f>G8*H8</f>
        <v>7.4426502724624521</v>
      </c>
      <c r="J8" s="53"/>
      <c r="K8" s="53"/>
      <c r="P8" s="46">
        <v>2</v>
      </c>
      <c r="Q8" s="47" t="s">
        <v>21</v>
      </c>
      <c r="R8" s="153" t="s">
        <v>62</v>
      </c>
      <c r="S8" s="154"/>
      <c r="T8" s="154"/>
      <c r="U8" s="155"/>
      <c r="V8" s="48">
        <f>(2^2-0.92^2*0.85)*0.7854*1.47/10*2*1.015</f>
        <v>0.76886882979983995</v>
      </c>
      <c r="W8" s="64">
        <f>9.38+0.3</f>
        <v>9.6800000000000015</v>
      </c>
      <c r="X8" s="11">
        <f>V8*W8</f>
        <v>7.4426502724624521</v>
      </c>
      <c r="Y8" s="53"/>
      <c r="Z8" s="53"/>
    </row>
    <row r="9" spans="1:26" ht="15.75" x14ac:dyDescent="0.2">
      <c r="A9" s="46">
        <v>3</v>
      </c>
      <c r="B9" s="47" t="s">
        <v>23</v>
      </c>
      <c r="C9" s="153" t="s">
        <v>63</v>
      </c>
      <c r="D9" s="154"/>
      <c r="E9" s="154"/>
      <c r="F9" s="155"/>
      <c r="G9" s="48">
        <f>(5.65^2-2^2*2)*0.7854*1.47/10</f>
        <v>2.7619435305</v>
      </c>
      <c r="H9" s="64">
        <f>7.82+0.3</f>
        <v>8.120000000000001</v>
      </c>
      <c r="I9" s="50">
        <f>G9*H9</f>
        <v>22.426981467660003</v>
      </c>
      <c r="J9" s="1" t="s">
        <v>124</v>
      </c>
      <c r="K9" s="1"/>
      <c r="P9" s="46">
        <v>3</v>
      </c>
      <c r="Q9" s="47" t="s">
        <v>23</v>
      </c>
      <c r="R9" s="153" t="s">
        <v>63</v>
      </c>
      <c r="S9" s="154"/>
      <c r="T9" s="154"/>
      <c r="U9" s="155"/>
      <c r="V9" s="48">
        <f>(5.65^2-2^2*2)*0.7854*1.47/10</f>
        <v>2.7619435305</v>
      </c>
      <c r="W9" s="64">
        <f>7.82+0.3</f>
        <v>8.120000000000001</v>
      </c>
      <c r="X9" s="50">
        <f>V9*W9</f>
        <v>22.426981467660003</v>
      </c>
      <c r="Y9" s="1" t="s">
        <v>124</v>
      </c>
      <c r="Z9" s="1"/>
    </row>
    <row r="10" spans="1:26" ht="15.75" x14ac:dyDescent="0.2">
      <c r="A10" s="12" t="s">
        <v>25</v>
      </c>
      <c r="B10" s="13">
        <f>I10/100</f>
        <v>0.98451193883830557</v>
      </c>
      <c r="C10" s="156" t="s">
        <v>26</v>
      </c>
      <c r="D10" s="156"/>
      <c r="E10" s="156"/>
      <c r="F10" s="156"/>
      <c r="G10" s="14">
        <f>SUM(G7:G9)/100</f>
        <v>4.4645873981027276E-2</v>
      </c>
      <c r="H10" s="15" t="s">
        <v>27</v>
      </c>
      <c r="I10" s="16">
        <f>SUM(I7:I9)</f>
        <v>98.451193883830555</v>
      </c>
      <c r="J10" s="56">
        <f>B10*1.13/I21</f>
        <v>0.78401817368942728</v>
      </c>
      <c r="K10" s="57">
        <f>G10*G19</f>
        <v>892.91747962054546</v>
      </c>
      <c r="P10" s="12" t="s">
        <v>25</v>
      </c>
      <c r="Q10" s="13">
        <f>X10/100</f>
        <v>0.98451193883830557</v>
      </c>
      <c r="R10" s="156" t="s">
        <v>26</v>
      </c>
      <c r="S10" s="156"/>
      <c r="T10" s="156"/>
      <c r="U10" s="156"/>
      <c r="V10" s="14">
        <f>SUM(V7:V9)/100</f>
        <v>4.4645873981027276E-2</v>
      </c>
      <c r="W10" s="15" t="s">
        <v>27</v>
      </c>
      <c r="X10" s="16">
        <f>SUM(X7:X9)</f>
        <v>98.451193883830555</v>
      </c>
      <c r="Y10" s="56">
        <f>Q10*1.13/X21</f>
        <v>0.7781225490373006</v>
      </c>
      <c r="Z10" s="57">
        <f>V10*V19</f>
        <v>892.91747962054546</v>
      </c>
    </row>
    <row r="11" spans="1:26" ht="36" x14ac:dyDescent="0.2">
      <c r="A11" s="17" t="s">
        <v>10</v>
      </c>
      <c r="B11" s="18" t="s">
        <v>28</v>
      </c>
      <c r="C11" s="17" t="s">
        <v>29</v>
      </c>
      <c r="D11" s="17" t="s">
        <v>30</v>
      </c>
      <c r="E11" s="17" t="s">
        <v>31</v>
      </c>
      <c r="F11" s="18" t="s">
        <v>32</v>
      </c>
      <c r="G11" s="18" t="s">
        <v>33</v>
      </c>
      <c r="H11" s="19" t="s">
        <v>34</v>
      </c>
      <c r="I11" s="17" t="s">
        <v>35</v>
      </c>
      <c r="P11" s="17" t="s">
        <v>10</v>
      </c>
      <c r="Q11" s="18" t="s">
        <v>28</v>
      </c>
      <c r="R11" s="17" t="s">
        <v>29</v>
      </c>
      <c r="S11" s="17" t="s">
        <v>30</v>
      </c>
      <c r="T11" s="17" t="s">
        <v>31</v>
      </c>
      <c r="U11" s="18" t="s">
        <v>32</v>
      </c>
      <c r="V11" s="18" t="s">
        <v>33</v>
      </c>
      <c r="W11" s="19" t="s">
        <v>34</v>
      </c>
      <c r="X11" s="17" t="s">
        <v>35</v>
      </c>
    </row>
    <row r="12" spans="1:26" ht="15.75" x14ac:dyDescent="0.2">
      <c r="A12" s="47" t="s">
        <v>19</v>
      </c>
      <c r="B12" s="20">
        <f>0.24*2</f>
        <v>0.48</v>
      </c>
      <c r="C12" s="20">
        <v>0</v>
      </c>
      <c r="D12" s="21">
        <v>10</v>
      </c>
      <c r="E12" s="21">
        <f>B12*D12*G19/1000+C12*D12*G17</f>
        <v>96</v>
      </c>
      <c r="F12" s="22">
        <v>0.5</v>
      </c>
      <c r="G12" s="51">
        <v>0</v>
      </c>
      <c r="H12" s="24">
        <f>F12*I7</f>
        <v>34.290781071854049</v>
      </c>
      <c r="I12" s="25">
        <f>E12+H12*G17</f>
        <v>130.29078107185404</v>
      </c>
      <c r="P12" s="47" t="s">
        <v>19</v>
      </c>
      <c r="Q12" s="20">
        <f>0.24*2</f>
        <v>0.48</v>
      </c>
      <c r="R12" s="20">
        <v>0</v>
      </c>
      <c r="S12" s="21">
        <v>10</v>
      </c>
      <c r="T12" s="21">
        <f>Q12*S12*V19/1000+R12*S12*V17</f>
        <v>96</v>
      </c>
      <c r="U12" s="22">
        <v>0.5</v>
      </c>
      <c r="V12" s="51">
        <v>0</v>
      </c>
      <c r="W12" s="24">
        <f>U12*X7</f>
        <v>34.290781071854049</v>
      </c>
      <c r="X12" s="25">
        <f>T12+W12*V17</f>
        <v>130.29078107185404</v>
      </c>
    </row>
    <row r="13" spans="1:26" ht="15.75" x14ac:dyDescent="0.2">
      <c r="A13" s="47" t="s">
        <v>21</v>
      </c>
      <c r="B13" s="26">
        <f>1000/60/180*2</f>
        <v>0.1851851851851852</v>
      </c>
      <c r="C13" s="20">
        <v>0</v>
      </c>
      <c r="D13" s="21">
        <v>120</v>
      </c>
      <c r="E13" s="21">
        <f>B13*D13*G19/1000+C13*D13*G17</f>
        <v>444.44444444444451</v>
      </c>
      <c r="F13" s="22">
        <v>0.5</v>
      </c>
      <c r="G13" s="51">
        <v>2</v>
      </c>
      <c r="H13" s="24">
        <f>F13*(I8+I7)+G13*H8</f>
        <v>57.372106208085285</v>
      </c>
      <c r="I13" s="25">
        <f>E13+H13*G17</f>
        <v>501.81655065252983</v>
      </c>
      <c r="P13" s="47" t="s">
        <v>21</v>
      </c>
      <c r="Q13" s="26">
        <f>1000/60/180*2</f>
        <v>0.1851851851851852</v>
      </c>
      <c r="R13" s="20">
        <v>0</v>
      </c>
      <c r="S13" s="21">
        <v>120</v>
      </c>
      <c r="T13" s="21">
        <f>Q13*S13*V19/1000+R13*S13*V17</f>
        <v>444.44444444444451</v>
      </c>
      <c r="U13" s="22">
        <v>0.5</v>
      </c>
      <c r="V13" s="51">
        <v>2</v>
      </c>
      <c r="W13" s="24">
        <f>U13*(X8+X7)+V13*W8</f>
        <v>57.372106208085285</v>
      </c>
      <c r="X13" s="25">
        <f>T13+W13*V17</f>
        <v>501.81655065252983</v>
      </c>
    </row>
    <row r="14" spans="1:26" ht="15.75" x14ac:dyDescent="0.2">
      <c r="A14" s="47" t="s">
        <v>36</v>
      </c>
      <c r="B14" s="26">
        <f>1000/60/40</f>
        <v>0.41666666666666669</v>
      </c>
      <c r="C14" s="20">
        <v>0</v>
      </c>
      <c r="D14" s="21">
        <v>40</v>
      </c>
      <c r="E14" s="21">
        <f>B14*D14*G19/1000+C14*D14*G17</f>
        <v>333.33333333333337</v>
      </c>
      <c r="F14" s="22">
        <v>0.1</v>
      </c>
      <c r="G14" s="51">
        <v>0</v>
      </c>
      <c r="H14" s="24">
        <f>F14*(I8+I7)</f>
        <v>7.6024212416170558</v>
      </c>
      <c r="I14" s="25">
        <f>E14+H14*G17</f>
        <v>340.93575457495041</v>
      </c>
      <c r="P14" s="47" t="s">
        <v>36</v>
      </c>
      <c r="Q14" s="26">
        <f>1000/60/40</f>
        <v>0.41666666666666669</v>
      </c>
      <c r="R14" s="20">
        <v>0</v>
      </c>
      <c r="S14" s="21">
        <v>40</v>
      </c>
      <c r="T14" s="21">
        <f>Q14*S14*V19/1000+R14*S14*V17</f>
        <v>333.33333333333337</v>
      </c>
      <c r="U14" s="22">
        <v>0.1</v>
      </c>
      <c r="V14" s="51">
        <v>0</v>
      </c>
      <c r="W14" s="24">
        <f>U14*(X8+X7)</f>
        <v>7.6024212416170558</v>
      </c>
      <c r="X14" s="25">
        <f>T14+W14*V17</f>
        <v>340.93575457495041</v>
      </c>
    </row>
    <row r="15" spans="1:26" ht="15.75" x14ac:dyDescent="0.2">
      <c r="A15" s="47" t="s">
        <v>23</v>
      </c>
      <c r="B15" s="52">
        <f>1000/60/50</f>
        <v>0.33333333333333337</v>
      </c>
      <c r="C15" s="20">
        <v>0</v>
      </c>
      <c r="D15" s="21">
        <v>140</v>
      </c>
      <c r="E15" s="21">
        <f>B15*D15*G19/1000+C15*D15*G17</f>
        <v>933.33333333333337</v>
      </c>
      <c r="F15" s="22">
        <v>1</v>
      </c>
      <c r="G15" s="51">
        <v>10</v>
      </c>
      <c r="H15" s="24">
        <f>F15*I10+G15*H9</f>
        <v>179.65119388383056</v>
      </c>
      <c r="I15" s="25">
        <f>E15+H15*G17</f>
        <v>1112.984527217164</v>
      </c>
      <c r="P15" s="47" t="s">
        <v>23</v>
      </c>
      <c r="Q15" s="52">
        <f>1000/60/50</f>
        <v>0.33333333333333337</v>
      </c>
      <c r="R15" s="20">
        <v>0</v>
      </c>
      <c r="S15" s="21">
        <v>140</v>
      </c>
      <c r="T15" s="21">
        <f>Q15*S15*V19/1000+R15*S15*V17</f>
        <v>933.33333333333337</v>
      </c>
      <c r="U15" s="22">
        <v>1</v>
      </c>
      <c r="V15" s="51">
        <v>10</v>
      </c>
      <c r="W15" s="24">
        <f>U15*X10+V15*W9</f>
        <v>179.65119388383056</v>
      </c>
      <c r="X15" s="25">
        <f>T15+W15*V17</f>
        <v>1112.984527217164</v>
      </c>
    </row>
    <row r="16" spans="1:26" ht="24" x14ac:dyDescent="0.2">
      <c r="A16" s="157" t="s">
        <v>37</v>
      </c>
      <c r="B16" s="158"/>
      <c r="C16" s="28" t="s">
        <v>38</v>
      </c>
      <c r="D16" s="28" t="s">
        <v>39</v>
      </c>
      <c r="E16" s="28" t="s">
        <v>40</v>
      </c>
      <c r="F16" s="29" t="s">
        <v>41</v>
      </c>
      <c r="G16" s="30" t="s">
        <v>42</v>
      </c>
      <c r="H16" s="31" t="s">
        <v>43</v>
      </c>
      <c r="I16" s="32">
        <f>SUM(I12:I15)</f>
        <v>2086.0276135164981</v>
      </c>
      <c r="P16" s="157" t="s">
        <v>37</v>
      </c>
      <c r="Q16" s="158"/>
      <c r="R16" s="28" t="s">
        <v>38</v>
      </c>
      <c r="S16" s="28" t="s">
        <v>39</v>
      </c>
      <c r="T16" s="28" t="s">
        <v>40</v>
      </c>
      <c r="U16" s="29" t="s">
        <v>41</v>
      </c>
      <c r="V16" s="30" t="s">
        <v>42</v>
      </c>
      <c r="W16" s="31" t="s">
        <v>43</v>
      </c>
      <c r="X16" s="32">
        <f>SUM(X12:X15)</f>
        <v>2086.0276135164981</v>
      </c>
    </row>
    <row r="17" spans="1:26" ht="15" x14ac:dyDescent="0.2">
      <c r="A17" s="159"/>
      <c r="B17" s="160"/>
      <c r="C17" s="58">
        <f>0.0074/3</f>
        <v>2.4666666666666669E-3</v>
      </c>
      <c r="D17" s="58">
        <v>0.85</v>
      </c>
      <c r="E17" s="33">
        <v>6.7000000000000002E-3</v>
      </c>
      <c r="F17" s="34">
        <v>2.5000000000000001E-2</v>
      </c>
      <c r="G17" s="35">
        <v>1</v>
      </c>
      <c r="H17" s="163" t="s">
        <v>44</v>
      </c>
      <c r="I17" s="143" t="s">
        <v>45</v>
      </c>
      <c r="P17" s="159"/>
      <c r="Q17" s="160"/>
      <c r="R17" s="58">
        <f>0.0074/3</f>
        <v>2.4666666666666669E-3</v>
      </c>
      <c r="S17" s="58">
        <v>0.85</v>
      </c>
      <c r="T17" s="33">
        <v>6.7000000000000002E-3</v>
      </c>
      <c r="U17" s="34">
        <v>2.5000000000000001E-2</v>
      </c>
      <c r="V17" s="35">
        <v>1</v>
      </c>
      <c r="W17" s="163" t="s">
        <v>44</v>
      </c>
      <c r="X17" s="143" t="s">
        <v>45</v>
      </c>
    </row>
    <row r="18" spans="1:26" ht="24" x14ac:dyDescent="0.2">
      <c r="A18" s="159"/>
      <c r="B18" s="160"/>
      <c r="C18" s="30" t="s">
        <v>37</v>
      </c>
      <c r="D18" s="36" t="s">
        <v>46</v>
      </c>
      <c r="E18" s="28" t="s">
        <v>47</v>
      </c>
      <c r="F18" s="31" t="s">
        <v>48</v>
      </c>
      <c r="G18" s="37" t="s">
        <v>49</v>
      </c>
      <c r="H18" s="163"/>
      <c r="I18" s="144"/>
      <c r="P18" s="159"/>
      <c r="Q18" s="160"/>
      <c r="R18" s="30" t="s">
        <v>37</v>
      </c>
      <c r="S18" s="36" t="s">
        <v>46</v>
      </c>
      <c r="T18" s="28" t="s">
        <v>47</v>
      </c>
      <c r="U18" s="31" t="s">
        <v>48</v>
      </c>
      <c r="V18" s="37" t="s">
        <v>49</v>
      </c>
      <c r="W18" s="163"/>
      <c r="X18" s="144"/>
    </row>
    <row r="19" spans="1:26" ht="18.75" x14ac:dyDescent="0.2">
      <c r="A19" s="159"/>
      <c r="B19" s="160"/>
      <c r="C19" s="76">
        <f>200/50000*G19</f>
        <v>80</v>
      </c>
      <c r="D19" s="77">
        <v>6.0499999999999998E-2</v>
      </c>
      <c r="E19" s="38">
        <v>0</v>
      </c>
      <c r="F19" s="59">
        <v>0.13</v>
      </c>
      <c r="G19" s="75">
        <v>20000</v>
      </c>
      <c r="H19" s="39">
        <f>I16/G19+B10+B10*F17</f>
        <v>1.1134261179850882</v>
      </c>
      <c r="I19" s="65">
        <f>(H19/(1-D19)+C17+E17+E19/G19+C19/G19+C21*D21+D17*G10)*(1+F19)*(1+E21+F21)</f>
        <v>1.4067320386971127</v>
      </c>
      <c r="P19" s="159"/>
      <c r="Q19" s="160"/>
      <c r="R19" s="76">
        <f>200/50000*V19</f>
        <v>80</v>
      </c>
      <c r="S19" s="77">
        <v>6.4000000000000001E-2</v>
      </c>
      <c r="T19" s="38">
        <v>0</v>
      </c>
      <c r="U19" s="59">
        <v>0.13</v>
      </c>
      <c r="V19" s="75">
        <v>20000</v>
      </c>
      <c r="W19" s="39">
        <f>X16/V19+Q10+Q10*U17</f>
        <v>1.1134261179850882</v>
      </c>
      <c r="X19" s="65">
        <f>(W19/(1-S19)+R17+T17+T19/V19+R19/V19+R21*S21+S17*V10)*(1+U19)*(1+T21+U21)</f>
        <v>1.4166816208544748</v>
      </c>
    </row>
    <row r="20" spans="1:26" x14ac:dyDescent="0.2">
      <c r="A20" s="159"/>
      <c r="B20" s="160"/>
      <c r="C20" s="29" t="s">
        <v>50</v>
      </c>
      <c r="D20" s="29" t="s">
        <v>51</v>
      </c>
      <c r="E20" s="60" t="s">
        <v>52</v>
      </c>
      <c r="F20" s="60" t="s">
        <v>53</v>
      </c>
      <c r="G20" s="60" t="s">
        <v>54</v>
      </c>
      <c r="H20" s="40" t="s">
        <v>55</v>
      </c>
      <c r="I20" s="66" t="s">
        <v>56</v>
      </c>
      <c r="J20" s="109" t="s">
        <v>125</v>
      </c>
      <c r="P20" s="159"/>
      <c r="Q20" s="160"/>
      <c r="R20" s="29" t="s">
        <v>50</v>
      </c>
      <c r="S20" s="29" t="s">
        <v>51</v>
      </c>
      <c r="T20" s="60" t="s">
        <v>52</v>
      </c>
      <c r="U20" s="60" t="s">
        <v>53</v>
      </c>
      <c r="V20" s="60" t="s">
        <v>54</v>
      </c>
      <c r="W20" s="40" t="s">
        <v>55</v>
      </c>
      <c r="X20" s="66" t="s">
        <v>56</v>
      </c>
      <c r="Y20" s="109" t="s">
        <v>125</v>
      </c>
      <c r="Z20" s="111" t="s">
        <v>128</v>
      </c>
    </row>
    <row r="21" spans="1:26" ht="18.75" x14ac:dyDescent="0.2">
      <c r="A21" s="161"/>
      <c r="B21" s="162"/>
      <c r="C21" s="41">
        <v>0</v>
      </c>
      <c r="D21" s="42">
        <v>0</v>
      </c>
      <c r="E21" s="61">
        <v>7.0000000000000001E-3</v>
      </c>
      <c r="F21" s="61">
        <v>0</v>
      </c>
      <c r="G21" s="62">
        <v>0.15</v>
      </c>
      <c r="H21" s="39">
        <f>(H19+C17+E17+E19/G19+C19/G19+C21*D21+D17*G10)*(1+F19)*(1+E21+F21)</f>
        <v>1.3251437340755661</v>
      </c>
      <c r="I21" s="65">
        <f>I19+(I19-H21)*G21</f>
        <v>1.4189702843903447</v>
      </c>
      <c r="J21" s="83">
        <v>1.4189188839563112</v>
      </c>
      <c r="P21" s="161"/>
      <c r="Q21" s="162"/>
      <c r="R21" s="41">
        <v>0</v>
      </c>
      <c r="S21" s="42">
        <v>0</v>
      </c>
      <c r="T21" s="61">
        <v>7.0000000000000001E-3</v>
      </c>
      <c r="U21" s="110">
        <v>3.5000000000000001E-3</v>
      </c>
      <c r="V21" s="62">
        <v>0.15</v>
      </c>
      <c r="W21" s="39">
        <f>(W19+R17+T17+T19/V19+R19/V19+R21*S21+S17*V10)*(1+U19)*(1+T21+U21)</f>
        <v>1.3297494968057195</v>
      </c>
      <c r="X21" s="65">
        <f>X19+(X19-W21)*V21</f>
        <v>1.4297214394617881</v>
      </c>
      <c r="Y21" s="83">
        <v>1.4189188839563112</v>
      </c>
      <c r="Z21" s="112">
        <f>Y21*1.008</f>
        <v>1.4302702350279617</v>
      </c>
    </row>
    <row r="22" spans="1:26" ht="25.5" x14ac:dyDescent="0.2">
      <c r="A22" s="171" t="s">
        <v>0</v>
      </c>
      <c r="B22" s="171"/>
      <c r="C22" s="171"/>
      <c r="D22" s="171"/>
      <c r="E22" s="171"/>
      <c r="F22" s="171"/>
      <c r="G22" s="171"/>
      <c r="H22" s="171"/>
      <c r="I22" s="171"/>
      <c r="P22" s="171" t="s">
        <v>0</v>
      </c>
      <c r="Q22" s="171"/>
      <c r="R22" s="171"/>
      <c r="S22" s="171"/>
      <c r="T22" s="171"/>
      <c r="U22" s="171"/>
      <c r="V22" s="171"/>
      <c r="W22" s="171"/>
      <c r="X22" s="171"/>
    </row>
    <row r="23" spans="1:26" ht="25.5" x14ac:dyDescent="0.2">
      <c r="A23" s="67"/>
      <c r="B23" s="67"/>
      <c r="C23" s="67"/>
      <c r="D23" s="67"/>
      <c r="E23" s="43"/>
      <c r="F23" s="3"/>
      <c r="G23" s="3"/>
      <c r="H23" s="3" t="s">
        <v>1</v>
      </c>
      <c r="I23" s="45" t="s">
        <v>66</v>
      </c>
      <c r="P23" s="67"/>
      <c r="Q23" s="67"/>
      <c r="R23" s="67"/>
      <c r="S23" s="67"/>
      <c r="T23" s="43"/>
      <c r="U23" s="3"/>
      <c r="V23" s="3"/>
      <c r="W23" s="3" t="s">
        <v>1</v>
      </c>
      <c r="X23" s="45" t="s">
        <v>66</v>
      </c>
    </row>
    <row r="24" spans="1:26" x14ac:dyDescent="0.2">
      <c r="A24" s="6" t="s">
        <v>3</v>
      </c>
      <c r="B24" s="179"/>
      <c r="C24" s="180"/>
      <c r="D24" s="180"/>
      <c r="E24" s="180"/>
      <c r="F24" s="181"/>
      <c r="G24" s="46" t="s">
        <v>4</v>
      </c>
      <c r="H24" s="182">
        <v>45133</v>
      </c>
      <c r="I24" s="183"/>
      <c r="P24" s="6" t="s">
        <v>3</v>
      </c>
      <c r="Q24" s="179"/>
      <c r="R24" s="180"/>
      <c r="S24" s="180"/>
      <c r="T24" s="180"/>
      <c r="U24" s="181"/>
      <c r="V24" s="46" t="s">
        <v>4</v>
      </c>
      <c r="W24" s="182">
        <v>45133</v>
      </c>
      <c r="X24" s="183"/>
    </row>
    <row r="25" spans="1:26" x14ac:dyDescent="0.2">
      <c r="A25" s="6" t="s">
        <v>5</v>
      </c>
      <c r="B25" s="189" t="s">
        <v>67</v>
      </c>
      <c r="C25" s="190"/>
      <c r="D25" s="190"/>
      <c r="E25" s="190"/>
      <c r="F25" s="191"/>
      <c r="G25" s="6" t="s">
        <v>7</v>
      </c>
      <c r="H25" s="192" t="s">
        <v>68</v>
      </c>
      <c r="I25" s="192"/>
      <c r="P25" s="6" t="s">
        <v>5</v>
      </c>
      <c r="Q25" s="189" t="s">
        <v>67</v>
      </c>
      <c r="R25" s="190"/>
      <c r="S25" s="190"/>
      <c r="T25" s="190"/>
      <c r="U25" s="191"/>
      <c r="V25" s="6" t="s">
        <v>7</v>
      </c>
      <c r="W25" s="192" t="s">
        <v>68</v>
      </c>
      <c r="X25" s="192"/>
    </row>
    <row r="26" spans="1:26" x14ac:dyDescent="0.2">
      <c r="A26" s="150" t="s">
        <v>9</v>
      </c>
      <c r="B26" s="151" t="s">
        <v>10</v>
      </c>
      <c r="C26" s="152" t="s">
        <v>11</v>
      </c>
      <c r="D26" s="152"/>
      <c r="E26" s="152"/>
      <c r="F26" s="152"/>
      <c r="G26" s="6" t="s">
        <v>12</v>
      </c>
      <c r="H26" s="6" t="s">
        <v>13</v>
      </c>
      <c r="I26" s="6" t="s">
        <v>14</v>
      </c>
      <c r="P26" s="150" t="s">
        <v>9</v>
      </c>
      <c r="Q26" s="151" t="s">
        <v>10</v>
      </c>
      <c r="R26" s="152" t="s">
        <v>11</v>
      </c>
      <c r="S26" s="152"/>
      <c r="T26" s="152"/>
      <c r="U26" s="152"/>
      <c r="V26" s="6" t="s">
        <v>12</v>
      </c>
      <c r="W26" s="6" t="s">
        <v>13</v>
      </c>
      <c r="X26" s="6" t="s">
        <v>14</v>
      </c>
    </row>
    <row r="27" spans="1:26" ht="15.75" x14ac:dyDescent="0.2">
      <c r="A27" s="150"/>
      <c r="B27" s="150"/>
      <c r="C27" s="152"/>
      <c r="D27" s="152"/>
      <c r="E27" s="152"/>
      <c r="F27" s="152"/>
      <c r="G27" s="6" t="s">
        <v>15</v>
      </c>
      <c r="H27" s="7" t="s">
        <v>16</v>
      </c>
      <c r="I27" s="7" t="s">
        <v>17</v>
      </c>
      <c r="P27" s="150"/>
      <c r="Q27" s="150"/>
      <c r="R27" s="152"/>
      <c r="S27" s="152"/>
      <c r="T27" s="152"/>
      <c r="U27" s="152"/>
      <c r="V27" s="6" t="s">
        <v>15</v>
      </c>
      <c r="W27" s="7" t="s">
        <v>16</v>
      </c>
      <c r="X27" s="7" t="s">
        <v>17</v>
      </c>
    </row>
    <row r="28" spans="1:26" ht="15.75" x14ac:dyDescent="0.2">
      <c r="A28" s="46">
        <v>1</v>
      </c>
      <c r="B28" s="47" t="s">
        <v>19</v>
      </c>
      <c r="C28" s="153" t="s">
        <v>69</v>
      </c>
      <c r="D28" s="154"/>
      <c r="E28" s="154"/>
      <c r="F28" s="155"/>
      <c r="G28" s="48">
        <f>0.158^2*41*0.7854*8.89/10*3*1.015*1.015</f>
        <v>2.208737108649137</v>
      </c>
      <c r="H28" s="63">
        <f>(J28+1140)/1.13/1000+5.18</f>
        <v>73.445486725663727</v>
      </c>
      <c r="I28" s="11">
        <f>G28*H28</f>
        <v>162.22177199377106</v>
      </c>
      <c r="J28" s="55">
        <v>76000</v>
      </c>
      <c r="K28" s="53"/>
      <c r="P28" s="46">
        <v>1</v>
      </c>
      <c r="Q28" s="47" t="s">
        <v>19</v>
      </c>
      <c r="R28" s="153" t="s">
        <v>69</v>
      </c>
      <c r="S28" s="154"/>
      <c r="T28" s="154"/>
      <c r="U28" s="155"/>
      <c r="V28" s="48">
        <f>0.158^2*41*0.7854*8.89/10*3*1.015*1.015</f>
        <v>2.208737108649137</v>
      </c>
      <c r="W28" s="63">
        <f>(Y28+1140)/1.13/1000+5.18</f>
        <v>73.445486725663727</v>
      </c>
      <c r="X28" s="11">
        <f>V28*W28</f>
        <v>162.22177199377106</v>
      </c>
      <c r="Y28" s="55">
        <v>76000</v>
      </c>
      <c r="Z28" s="53"/>
    </row>
    <row r="29" spans="1:26" ht="15.75" x14ac:dyDescent="0.2">
      <c r="A29" s="46">
        <v>2</v>
      </c>
      <c r="B29" s="47" t="s">
        <v>21</v>
      </c>
      <c r="C29" s="153" t="s">
        <v>70</v>
      </c>
      <c r="D29" s="154"/>
      <c r="E29" s="154"/>
      <c r="F29" s="155"/>
      <c r="G29" s="48">
        <f>(2.2^2-1.16^2*0.85)*0.7854*1.47/10*3*1.015</f>
        <v>1.2994383840530404</v>
      </c>
      <c r="H29" s="64">
        <f>9.38+0.3</f>
        <v>9.6800000000000015</v>
      </c>
      <c r="I29" s="11">
        <f>G29*H29</f>
        <v>12.578563557633432</v>
      </c>
      <c r="J29" s="53"/>
      <c r="K29" s="53"/>
      <c r="P29" s="46">
        <v>2</v>
      </c>
      <c r="Q29" s="47" t="s">
        <v>21</v>
      </c>
      <c r="R29" s="153" t="s">
        <v>70</v>
      </c>
      <c r="S29" s="154"/>
      <c r="T29" s="154"/>
      <c r="U29" s="155"/>
      <c r="V29" s="48">
        <f>(2.2^2-1.16^2*0.85)*0.7854*1.47/10*3*1.015</f>
        <v>1.2994383840530404</v>
      </c>
      <c r="W29" s="64">
        <f>9.38+0.3</f>
        <v>9.6800000000000015</v>
      </c>
      <c r="X29" s="11">
        <f>V29*W29</f>
        <v>12.578563557633432</v>
      </c>
      <c r="Y29" s="53"/>
      <c r="Z29" s="53"/>
    </row>
    <row r="30" spans="1:26" ht="15.75" x14ac:dyDescent="0.2">
      <c r="A30" s="46">
        <v>3</v>
      </c>
      <c r="B30" s="46" t="s">
        <v>23</v>
      </c>
      <c r="C30" s="153" t="s">
        <v>71</v>
      </c>
      <c r="D30" s="154"/>
      <c r="E30" s="154"/>
      <c r="F30" s="155"/>
      <c r="G30" s="48">
        <f>(6.55^2-2.2^2*3)*0.7854*1.47/10</f>
        <v>3.2768674784999994</v>
      </c>
      <c r="H30" s="64">
        <f>7.82+0.3</f>
        <v>8.120000000000001</v>
      </c>
      <c r="I30" s="11">
        <f>G30*H30</f>
        <v>26.608163925419998</v>
      </c>
      <c r="J30" s="1" t="s">
        <v>124</v>
      </c>
      <c r="K30" s="1"/>
      <c r="P30" s="46">
        <v>3</v>
      </c>
      <c r="Q30" s="46" t="s">
        <v>23</v>
      </c>
      <c r="R30" s="153" t="s">
        <v>71</v>
      </c>
      <c r="S30" s="154"/>
      <c r="T30" s="154"/>
      <c r="U30" s="155"/>
      <c r="V30" s="48">
        <f>(6.55^2-2.2^2*3)*0.7854*1.47/10</f>
        <v>3.2768674784999994</v>
      </c>
      <c r="W30" s="64">
        <f>7.82+0.3</f>
        <v>8.120000000000001</v>
      </c>
      <c r="X30" s="11">
        <f>V30*W30</f>
        <v>26.608163925419998</v>
      </c>
      <c r="Y30" s="1" t="s">
        <v>124</v>
      </c>
      <c r="Z30" s="1"/>
    </row>
    <row r="31" spans="1:26" ht="15.75" x14ac:dyDescent="0.2">
      <c r="A31" s="12" t="s">
        <v>25</v>
      </c>
      <c r="B31" s="13">
        <f>I31/100</f>
        <v>2.0140849947682451</v>
      </c>
      <c r="C31" s="156" t="s">
        <v>26</v>
      </c>
      <c r="D31" s="156"/>
      <c r="E31" s="156"/>
      <c r="F31" s="156"/>
      <c r="G31" s="14">
        <f>SUM(G28:G30)/100</f>
        <v>6.7850429712021765E-2</v>
      </c>
      <c r="H31" s="15" t="s">
        <v>27</v>
      </c>
      <c r="I31" s="16">
        <f>SUM(I28:I30)</f>
        <v>201.40849947682449</v>
      </c>
      <c r="J31" s="56">
        <f>B31*1.13/I42</f>
        <v>0.82275031044003322</v>
      </c>
      <c r="K31" s="57">
        <f>G31*G40</f>
        <v>678.50429712021764</v>
      </c>
      <c r="P31" s="12" t="s">
        <v>25</v>
      </c>
      <c r="Q31" s="13">
        <f>X31/100</f>
        <v>2.0140849947682451</v>
      </c>
      <c r="R31" s="156" t="s">
        <v>26</v>
      </c>
      <c r="S31" s="156"/>
      <c r="T31" s="156"/>
      <c r="U31" s="156"/>
      <c r="V31" s="14">
        <f>SUM(V28:V30)/100</f>
        <v>6.7850429712021765E-2</v>
      </c>
      <c r="W31" s="15" t="s">
        <v>27</v>
      </c>
      <c r="X31" s="16">
        <f>SUM(X28:X30)</f>
        <v>201.40849947682449</v>
      </c>
      <c r="Y31" s="56">
        <f>Q31*1.13/X42</f>
        <v>0.81641581294697818</v>
      </c>
      <c r="Z31" s="57">
        <f>V31*V40</f>
        <v>678.50429712021764</v>
      </c>
    </row>
    <row r="32" spans="1:26" ht="36" x14ac:dyDescent="0.2">
      <c r="A32" s="17" t="s">
        <v>10</v>
      </c>
      <c r="B32" s="18" t="s">
        <v>28</v>
      </c>
      <c r="C32" s="17" t="s">
        <v>29</v>
      </c>
      <c r="D32" s="17" t="s">
        <v>30</v>
      </c>
      <c r="E32" s="17" t="s">
        <v>31</v>
      </c>
      <c r="F32" s="18" t="s">
        <v>32</v>
      </c>
      <c r="G32" s="18" t="s">
        <v>33</v>
      </c>
      <c r="H32" s="19" t="s">
        <v>34</v>
      </c>
      <c r="I32" s="17" t="s">
        <v>35</v>
      </c>
      <c r="P32" s="17" t="s">
        <v>10</v>
      </c>
      <c r="Q32" s="18" t="s">
        <v>28</v>
      </c>
      <c r="R32" s="17" t="s">
        <v>29</v>
      </c>
      <c r="S32" s="17" t="s">
        <v>30</v>
      </c>
      <c r="T32" s="17" t="s">
        <v>31</v>
      </c>
      <c r="U32" s="18" t="s">
        <v>32</v>
      </c>
      <c r="V32" s="18" t="s">
        <v>33</v>
      </c>
      <c r="W32" s="19" t="s">
        <v>34</v>
      </c>
      <c r="X32" s="17" t="s">
        <v>35</v>
      </c>
    </row>
    <row r="33" spans="1:26" ht="15.75" x14ac:dyDescent="0.2">
      <c r="A33" s="46" t="s">
        <v>19</v>
      </c>
      <c r="B33" s="68">
        <f>0.24*3</f>
        <v>0.72</v>
      </c>
      <c r="C33" s="20">
        <v>0</v>
      </c>
      <c r="D33" s="21">
        <v>10</v>
      </c>
      <c r="E33" s="69">
        <f>B33*D33*G40/1000+C33*D33*G38</f>
        <v>72</v>
      </c>
      <c r="F33" s="70">
        <v>1</v>
      </c>
      <c r="G33" s="71">
        <v>0</v>
      </c>
      <c r="H33" s="24">
        <f>F33*I28</f>
        <v>162.22177199377106</v>
      </c>
      <c r="I33" s="25">
        <f>E33+H33*G38</f>
        <v>234.22177199377106</v>
      </c>
      <c r="P33" s="46" t="s">
        <v>19</v>
      </c>
      <c r="Q33" s="68">
        <f>0.24*3</f>
        <v>0.72</v>
      </c>
      <c r="R33" s="20">
        <v>0</v>
      </c>
      <c r="S33" s="21">
        <v>10</v>
      </c>
      <c r="T33" s="69">
        <f>Q33*S33*V40/1000+R33*S33*V38</f>
        <v>72</v>
      </c>
      <c r="U33" s="70">
        <v>1</v>
      </c>
      <c r="V33" s="71">
        <v>0</v>
      </c>
      <c r="W33" s="24">
        <f>U33*X28</f>
        <v>162.22177199377106</v>
      </c>
      <c r="X33" s="25">
        <f>T33+W33*V38</f>
        <v>234.22177199377106</v>
      </c>
    </row>
    <row r="34" spans="1:26" ht="15.75" x14ac:dyDescent="0.2">
      <c r="A34" s="46" t="s">
        <v>21</v>
      </c>
      <c r="B34" s="68">
        <f>1000/60/180*3</f>
        <v>0.27777777777777779</v>
      </c>
      <c r="C34" s="20">
        <v>0</v>
      </c>
      <c r="D34" s="21">
        <v>120</v>
      </c>
      <c r="E34" s="69">
        <f>B34*D34*G40/1000+C34*D34*G38</f>
        <v>333.33333333333337</v>
      </c>
      <c r="F34" s="70">
        <v>1.5</v>
      </c>
      <c r="G34" s="72">
        <v>2</v>
      </c>
      <c r="H34" s="24">
        <f>F34*(I29+I28)+G34*H29</f>
        <v>281.56050332710674</v>
      </c>
      <c r="I34" s="25">
        <f>E34+H34*G38</f>
        <v>614.89383666044012</v>
      </c>
      <c r="P34" s="46" t="s">
        <v>21</v>
      </c>
      <c r="Q34" s="68">
        <f>1000/60/180*3</f>
        <v>0.27777777777777779</v>
      </c>
      <c r="R34" s="20">
        <v>0</v>
      </c>
      <c r="S34" s="21">
        <v>120</v>
      </c>
      <c r="T34" s="69">
        <f>Q34*S34*V40/1000+R34*S34*V38</f>
        <v>333.33333333333337</v>
      </c>
      <c r="U34" s="70">
        <v>1.5</v>
      </c>
      <c r="V34" s="72">
        <v>2</v>
      </c>
      <c r="W34" s="24">
        <f>U34*(X29+X28)+V34*W29</f>
        <v>281.56050332710674</v>
      </c>
      <c r="X34" s="25">
        <f>T34+W34*V38</f>
        <v>614.89383666044012</v>
      </c>
    </row>
    <row r="35" spans="1:26" ht="15.75" x14ac:dyDescent="0.2">
      <c r="A35" s="46" t="s">
        <v>36</v>
      </c>
      <c r="B35" s="68">
        <f>1000/60/30</f>
        <v>0.55555555555555558</v>
      </c>
      <c r="C35" s="20">
        <v>0</v>
      </c>
      <c r="D35" s="21">
        <v>30</v>
      </c>
      <c r="E35" s="69">
        <f>B35*D35*G40/1000+C35*D35*G38</f>
        <v>166.66666666666669</v>
      </c>
      <c r="F35" s="70">
        <v>0.2</v>
      </c>
      <c r="G35" s="72">
        <v>0</v>
      </c>
      <c r="H35" s="24">
        <f>F35*(I29+I28)</f>
        <v>34.960067110280896</v>
      </c>
      <c r="I35" s="25">
        <f>E35+H35*G38</f>
        <v>201.62673377694759</v>
      </c>
      <c r="P35" s="46" t="s">
        <v>36</v>
      </c>
      <c r="Q35" s="68">
        <f>1000/60/30</f>
        <v>0.55555555555555558</v>
      </c>
      <c r="R35" s="20">
        <v>0</v>
      </c>
      <c r="S35" s="21">
        <v>30</v>
      </c>
      <c r="T35" s="69">
        <f>Q35*S35*V40/1000+R35*S35*V38</f>
        <v>166.66666666666669</v>
      </c>
      <c r="U35" s="70">
        <v>0.2</v>
      </c>
      <c r="V35" s="72">
        <v>0</v>
      </c>
      <c r="W35" s="24">
        <f>U35*(X29+X28)</f>
        <v>34.960067110280896</v>
      </c>
      <c r="X35" s="25">
        <f>T35+W35*V38</f>
        <v>201.62673377694759</v>
      </c>
    </row>
    <row r="36" spans="1:26" ht="15.75" x14ac:dyDescent="0.2">
      <c r="A36" s="46" t="s">
        <v>23</v>
      </c>
      <c r="B36" s="68">
        <f>1000/60/40</f>
        <v>0.41666666666666669</v>
      </c>
      <c r="C36" s="20">
        <v>0</v>
      </c>
      <c r="D36" s="21">
        <v>140</v>
      </c>
      <c r="E36" s="69">
        <f>B36*D36*G40/1000+C36*D36*G38</f>
        <v>583.33333333333337</v>
      </c>
      <c r="F36" s="70">
        <v>1</v>
      </c>
      <c r="G36" s="72">
        <v>10</v>
      </c>
      <c r="H36" s="24">
        <f>F36*I31+G36*H30</f>
        <v>282.60849947682448</v>
      </c>
      <c r="I36" s="25">
        <f>E36+H36*G38</f>
        <v>865.94183281015785</v>
      </c>
      <c r="P36" s="46" t="s">
        <v>23</v>
      </c>
      <c r="Q36" s="68">
        <f>1000/60/40</f>
        <v>0.41666666666666669</v>
      </c>
      <c r="R36" s="20">
        <v>0</v>
      </c>
      <c r="S36" s="21">
        <v>140</v>
      </c>
      <c r="T36" s="69">
        <f>Q36*S36*V40/1000+R36*S36*V38</f>
        <v>583.33333333333337</v>
      </c>
      <c r="U36" s="70">
        <v>1</v>
      </c>
      <c r="V36" s="72">
        <v>10</v>
      </c>
      <c r="W36" s="24">
        <f>U36*X31+V36*W30</f>
        <v>282.60849947682448</v>
      </c>
      <c r="X36" s="25">
        <f>T36+W36*V38</f>
        <v>865.94183281015785</v>
      </c>
    </row>
    <row r="37" spans="1:26" ht="24" x14ac:dyDescent="0.2">
      <c r="A37" s="157" t="s">
        <v>37</v>
      </c>
      <c r="B37" s="158"/>
      <c r="C37" s="28" t="s">
        <v>38</v>
      </c>
      <c r="D37" s="28" t="s">
        <v>39</v>
      </c>
      <c r="E37" s="28" t="s">
        <v>40</v>
      </c>
      <c r="F37" s="29" t="s">
        <v>41</v>
      </c>
      <c r="G37" s="30" t="s">
        <v>42</v>
      </c>
      <c r="H37" s="31" t="s">
        <v>43</v>
      </c>
      <c r="I37" s="32">
        <f>SUM(I33:I36)</f>
        <v>1916.6841752413166</v>
      </c>
      <c r="P37" s="157" t="s">
        <v>37</v>
      </c>
      <c r="Q37" s="158"/>
      <c r="R37" s="28" t="s">
        <v>38</v>
      </c>
      <c r="S37" s="28" t="s">
        <v>39</v>
      </c>
      <c r="T37" s="28" t="s">
        <v>40</v>
      </c>
      <c r="U37" s="29" t="s">
        <v>41</v>
      </c>
      <c r="V37" s="30" t="s">
        <v>42</v>
      </c>
      <c r="W37" s="31" t="s">
        <v>43</v>
      </c>
      <c r="X37" s="32">
        <f>SUM(X33:X36)</f>
        <v>1916.6841752413166</v>
      </c>
    </row>
    <row r="38" spans="1:26" ht="15" x14ac:dyDescent="0.2">
      <c r="A38" s="159"/>
      <c r="B38" s="160"/>
      <c r="C38" s="58">
        <f>0.0074/3</f>
        <v>2.4666666666666669E-3</v>
      </c>
      <c r="D38" s="58">
        <v>0.85</v>
      </c>
      <c r="E38" s="33">
        <v>1.2999999999999999E-2</v>
      </c>
      <c r="F38" s="73">
        <v>2.5000000000000001E-2</v>
      </c>
      <c r="G38" s="35">
        <v>1</v>
      </c>
      <c r="H38" s="163" t="s">
        <v>44</v>
      </c>
      <c r="I38" s="143" t="s">
        <v>45</v>
      </c>
      <c r="P38" s="159"/>
      <c r="Q38" s="160"/>
      <c r="R38" s="58">
        <f>0.0074/3</f>
        <v>2.4666666666666669E-3</v>
      </c>
      <c r="S38" s="58">
        <v>0.85</v>
      </c>
      <c r="T38" s="33">
        <v>1.2999999999999999E-2</v>
      </c>
      <c r="U38" s="73">
        <v>2.5000000000000001E-2</v>
      </c>
      <c r="V38" s="35">
        <v>1</v>
      </c>
      <c r="W38" s="163" t="s">
        <v>44</v>
      </c>
      <c r="X38" s="143" t="s">
        <v>45</v>
      </c>
    </row>
    <row r="39" spans="1:26" ht="24" x14ac:dyDescent="0.2">
      <c r="A39" s="159"/>
      <c r="B39" s="160"/>
      <c r="C39" s="30" t="s">
        <v>37</v>
      </c>
      <c r="D39" s="36" t="s">
        <v>46</v>
      </c>
      <c r="E39" s="28" t="s">
        <v>47</v>
      </c>
      <c r="F39" s="31" t="s">
        <v>48</v>
      </c>
      <c r="G39" s="37" t="s">
        <v>49</v>
      </c>
      <c r="H39" s="163"/>
      <c r="I39" s="144"/>
      <c r="P39" s="159"/>
      <c r="Q39" s="160"/>
      <c r="R39" s="30" t="s">
        <v>37</v>
      </c>
      <c r="S39" s="36" t="s">
        <v>46</v>
      </c>
      <c r="T39" s="28" t="s">
        <v>47</v>
      </c>
      <c r="U39" s="31" t="s">
        <v>48</v>
      </c>
      <c r="V39" s="37" t="s">
        <v>49</v>
      </c>
      <c r="W39" s="163"/>
      <c r="X39" s="144"/>
    </row>
    <row r="40" spans="1:26" ht="18.75" x14ac:dyDescent="0.2">
      <c r="A40" s="159"/>
      <c r="B40" s="160"/>
      <c r="C40" s="76">
        <f>200/50000*G40</f>
        <v>40</v>
      </c>
      <c r="D40" s="77">
        <v>3.6299999999999999E-2</v>
      </c>
      <c r="E40" s="38">
        <v>0</v>
      </c>
      <c r="F40" s="59">
        <v>0.13</v>
      </c>
      <c r="G40" s="75">
        <v>10000</v>
      </c>
      <c r="H40" s="39">
        <f>I37/G40+B31+B31*F38</f>
        <v>2.256105537161583</v>
      </c>
      <c r="I40" s="65">
        <f>(H40/(1-D40)+C38+E38+E40/G40+C40/G40+C42*D42+D38*G31)*(1+F40)*(1+E42+F42)</f>
        <v>2.7517241473442415</v>
      </c>
      <c r="P40" s="159"/>
      <c r="Q40" s="160"/>
      <c r="R40" s="76">
        <f>200/50000*V40</f>
        <v>40</v>
      </c>
      <c r="S40" s="77">
        <v>0.04</v>
      </c>
      <c r="T40" s="38">
        <v>0</v>
      </c>
      <c r="U40" s="59">
        <v>0.13</v>
      </c>
      <c r="V40" s="75">
        <v>10000</v>
      </c>
      <c r="W40" s="39">
        <f>X37/V40+Q31+Q31*U38</f>
        <v>2.256105537161583</v>
      </c>
      <c r="X40" s="65">
        <f>(W40/(1-S40)+R38+T38+T40/V40+R40/V40+R42*S42+S38*V31)*(1+U40)*(1+T42+U42)</f>
        <v>2.7715912120252861</v>
      </c>
    </row>
    <row r="41" spans="1:26" x14ac:dyDescent="0.2">
      <c r="A41" s="159"/>
      <c r="B41" s="160"/>
      <c r="C41" s="29" t="s">
        <v>50</v>
      </c>
      <c r="D41" s="29" t="s">
        <v>51</v>
      </c>
      <c r="E41" s="60" t="s">
        <v>52</v>
      </c>
      <c r="F41" s="60" t="s">
        <v>53</v>
      </c>
      <c r="G41" s="60" t="s">
        <v>54</v>
      </c>
      <c r="H41" s="40" t="s">
        <v>55</v>
      </c>
      <c r="I41" s="66" t="s">
        <v>56</v>
      </c>
      <c r="J41" s="109" t="s">
        <v>125</v>
      </c>
      <c r="P41" s="159"/>
      <c r="Q41" s="160"/>
      <c r="R41" s="29" t="s">
        <v>50</v>
      </c>
      <c r="S41" s="29" t="s">
        <v>51</v>
      </c>
      <c r="T41" s="60" t="s">
        <v>52</v>
      </c>
      <c r="U41" s="60" t="s">
        <v>53</v>
      </c>
      <c r="V41" s="60" t="s">
        <v>54</v>
      </c>
      <c r="W41" s="40" t="s">
        <v>55</v>
      </c>
      <c r="X41" s="66" t="s">
        <v>56</v>
      </c>
      <c r="Y41" s="109" t="s">
        <v>125</v>
      </c>
      <c r="Z41" s="111" t="s">
        <v>128</v>
      </c>
    </row>
    <row r="42" spans="1:26" ht="18.75" x14ac:dyDescent="0.2">
      <c r="A42" s="161"/>
      <c r="B42" s="162"/>
      <c r="C42" s="41">
        <v>0</v>
      </c>
      <c r="D42" s="74">
        <v>0</v>
      </c>
      <c r="E42" s="61">
        <v>7.0000000000000001E-3</v>
      </c>
      <c r="F42" s="61">
        <v>0</v>
      </c>
      <c r="G42" s="62">
        <v>0.15</v>
      </c>
      <c r="H42" s="39">
        <f>(H40+C38+E38+E40/G40+C40/G40+C42*D42+D38*G31)*(1+F40)*(1+E42+F42)</f>
        <v>2.6550228965607685</v>
      </c>
      <c r="I42" s="65">
        <f>I40+(I40-H42)*G42</f>
        <v>2.7662293349617624</v>
      </c>
      <c r="J42" s="83">
        <v>2.7661306880234293</v>
      </c>
      <c r="P42" s="161"/>
      <c r="Q42" s="162"/>
      <c r="R42" s="41">
        <v>0</v>
      </c>
      <c r="S42" s="74">
        <v>0</v>
      </c>
      <c r="T42" s="61">
        <v>7.0000000000000001E-3</v>
      </c>
      <c r="U42" s="110">
        <v>3.5000000000000001E-3</v>
      </c>
      <c r="V42" s="62">
        <v>0.15</v>
      </c>
      <c r="W42" s="39">
        <f>(W40+R38+T38+T40/V40+R40/V40+R42*S42+S38*V31)*(1+U40)*(1+T42+U42)</f>
        <v>2.6642508808089937</v>
      </c>
      <c r="X42" s="65">
        <f>X40+(X40-W42)*V42</f>
        <v>2.78769226170773</v>
      </c>
      <c r="Y42" s="83">
        <v>2.7661306880234293</v>
      </c>
      <c r="Z42" s="112">
        <f>Y42*1.008</f>
        <v>2.7882597335276169</v>
      </c>
    </row>
  </sheetData>
  <mergeCells count="62">
    <mergeCell ref="A5:A6"/>
    <mergeCell ref="B5:B6"/>
    <mergeCell ref="C5:F6"/>
    <mergeCell ref="A1:I1"/>
    <mergeCell ref="B3:F3"/>
    <mergeCell ref="H3:I3"/>
    <mergeCell ref="B4:F4"/>
    <mergeCell ref="H4:I4"/>
    <mergeCell ref="B25:F25"/>
    <mergeCell ref="H25:I25"/>
    <mergeCell ref="C7:F7"/>
    <mergeCell ref="C8:F8"/>
    <mergeCell ref="C9:F9"/>
    <mergeCell ref="C10:F10"/>
    <mergeCell ref="A16:B21"/>
    <mergeCell ref="H17:H18"/>
    <mergeCell ref="J1:K2"/>
    <mergeCell ref="P1:X1"/>
    <mergeCell ref="R7:U7"/>
    <mergeCell ref="R8:U8"/>
    <mergeCell ref="R9:U9"/>
    <mergeCell ref="P5:P6"/>
    <mergeCell ref="Q5:Q6"/>
    <mergeCell ref="R5:U6"/>
    <mergeCell ref="C31:F31"/>
    <mergeCell ref="A37:B42"/>
    <mergeCell ref="H38:H39"/>
    <mergeCell ref="I38:I39"/>
    <mergeCell ref="R10:U10"/>
    <mergeCell ref="A26:A27"/>
    <mergeCell ref="B26:B27"/>
    <mergeCell ref="C26:F27"/>
    <mergeCell ref="C28:F28"/>
    <mergeCell ref="C29:F29"/>
    <mergeCell ref="C30:F30"/>
    <mergeCell ref="I17:I18"/>
    <mergeCell ref="A22:I22"/>
    <mergeCell ref="P16:Q21"/>
    <mergeCell ref="B24:F24"/>
    <mergeCell ref="H24:I24"/>
    <mergeCell ref="Y1:Z2"/>
    <mergeCell ref="Q3:U3"/>
    <mergeCell ref="W3:X3"/>
    <mergeCell ref="Q4:U4"/>
    <mergeCell ref="W4:X4"/>
    <mergeCell ref="W17:W18"/>
    <mergeCell ref="X17:X18"/>
    <mergeCell ref="P22:X22"/>
    <mergeCell ref="Q24:U24"/>
    <mergeCell ref="W24:X24"/>
    <mergeCell ref="X38:X39"/>
    <mergeCell ref="Q25:U25"/>
    <mergeCell ref="W25:X25"/>
    <mergeCell ref="P26:P27"/>
    <mergeCell ref="Q26:Q27"/>
    <mergeCell ref="R26:U27"/>
    <mergeCell ref="R28:U28"/>
    <mergeCell ref="R29:U29"/>
    <mergeCell ref="R30:U30"/>
    <mergeCell ref="R31:U31"/>
    <mergeCell ref="P37:Q42"/>
    <mergeCell ref="W38:W39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1D6C-3433-4CB6-B6BA-85A59107727F}">
  <dimension ref="A1:L25"/>
  <sheetViews>
    <sheetView workbookViewId="0">
      <selection activeCell="L20" sqref="L20"/>
    </sheetView>
  </sheetViews>
  <sheetFormatPr defaultRowHeight="14.25" x14ac:dyDescent="0.2"/>
  <cols>
    <col min="1" max="1" width="8.75" customWidth="1"/>
    <col min="2" max="2" width="9.75" customWidth="1"/>
    <col min="3" max="3" width="12.25" customWidth="1"/>
    <col min="4" max="4" width="14.625" bestFit="1" customWidth="1"/>
    <col min="5" max="5" width="13.625" bestFit="1" customWidth="1"/>
    <col min="6" max="6" width="11.625" customWidth="1"/>
    <col min="7" max="7" width="11.875" customWidth="1"/>
    <col min="8" max="9" width="12.625" customWidth="1"/>
  </cols>
  <sheetData>
    <row r="1" spans="1:12" ht="25.5" x14ac:dyDescent="0.2">
      <c r="A1" s="202" t="s">
        <v>129</v>
      </c>
      <c r="B1" s="202"/>
      <c r="C1" s="202"/>
      <c r="D1" s="202"/>
      <c r="E1" s="202"/>
      <c r="F1" s="202"/>
      <c r="G1" s="202"/>
      <c r="H1" s="202"/>
      <c r="I1" s="202"/>
      <c r="J1" s="210" t="s">
        <v>139</v>
      </c>
      <c r="K1" s="170"/>
      <c r="L1" t="s">
        <v>141</v>
      </c>
    </row>
    <row r="2" spans="1:12" ht="25.5" x14ac:dyDescent="0.2">
      <c r="A2" s="113"/>
      <c r="B2" s="114"/>
      <c r="C2" s="114"/>
      <c r="D2" s="114"/>
      <c r="E2" s="114"/>
      <c r="F2" s="114"/>
      <c r="G2" s="114"/>
      <c r="H2" s="115" t="s">
        <v>1</v>
      </c>
      <c r="I2" s="4" t="s">
        <v>130</v>
      </c>
      <c r="J2" s="170"/>
      <c r="K2" s="170"/>
      <c r="L2" t="s">
        <v>140</v>
      </c>
    </row>
    <row r="3" spans="1:12" ht="15" x14ac:dyDescent="0.2">
      <c r="A3" s="9" t="s">
        <v>3</v>
      </c>
      <c r="B3" s="203"/>
      <c r="C3" s="204"/>
      <c r="D3" s="204"/>
      <c r="E3" s="204"/>
      <c r="F3" s="205"/>
      <c r="G3" s="9" t="s">
        <v>4</v>
      </c>
      <c r="H3" s="182">
        <v>45716</v>
      </c>
      <c r="I3" s="183"/>
      <c r="J3" s="53" t="s">
        <v>65</v>
      </c>
      <c r="K3" s="53"/>
    </row>
    <row r="4" spans="1:12" ht="15.75" x14ac:dyDescent="0.2">
      <c r="A4" s="9" t="s">
        <v>5</v>
      </c>
      <c r="B4" s="206" t="s">
        <v>131</v>
      </c>
      <c r="C4" s="206"/>
      <c r="D4" s="206"/>
      <c r="E4" s="206"/>
      <c r="F4" s="206"/>
      <c r="G4" s="9" t="s">
        <v>7</v>
      </c>
      <c r="H4" s="207" t="s">
        <v>132</v>
      </c>
      <c r="I4" s="208"/>
      <c r="J4" t="s">
        <v>142</v>
      </c>
    </row>
    <row r="5" spans="1:12" x14ac:dyDescent="0.2">
      <c r="A5" s="209" t="s">
        <v>9</v>
      </c>
      <c r="B5" s="209" t="s">
        <v>10</v>
      </c>
      <c r="C5" s="209" t="s">
        <v>133</v>
      </c>
      <c r="D5" s="209"/>
      <c r="E5" s="209"/>
      <c r="F5" s="209"/>
      <c r="G5" s="9" t="s">
        <v>12</v>
      </c>
      <c r="H5" s="9" t="s">
        <v>13</v>
      </c>
      <c r="I5" s="9" t="s">
        <v>14</v>
      </c>
    </row>
    <row r="6" spans="1:12" ht="15.75" x14ac:dyDescent="0.2">
      <c r="A6" s="209"/>
      <c r="B6" s="209"/>
      <c r="C6" s="209"/>
      <c r="D6" s="209"/>
      <c r="E6" s="209"/>
      <c r="F6" s="209"/>
      <c r="G6" s="9" t="s">
        <v>15</v>
      </c>
      <c r="H6" s="116" t="s">
        <v>16</v>
      </c>
      <c r="I6" s="116" t="s">
        <v>17</v>
      </c>
    </row>
    <row r="7" spans="1:12" ht="15.75" x14ac:dyDescent="0.2">
      <c r="A7" s="8" t="s">
        <v>18</v>
      </c>
      <c r="B7" s="9" t="s">
        <v>19</v>
      </c>
      <c r="C7" s="211" t="s">
        <v>134</v>
      </c>
      <c r="D7" s="212"/>
      <c r="E7" s="212"/>
      <c r="F7" s="213"/>
      <c r="G7" s="10">
        <f>0.193^2*0.7854*8.89*32/10*1.02*1.015*2</f>
        <v>1.7232705410987408</v>
      </c>
      <c r="H7" s="63">
        <f>(J7+1140)/1.13/1000+1.18</f>
        <v>71.215398230088496</v>
      </c>
      <c r="I7" s="120">
        <f>G7*H7</f>
        <v>122.72339784252691</v>
      </c>
      <c r="J7" s="55">
        <v>78000</v>
      </c>
      <c r="K7" s="53"/>
    </row>
    <row r="8" spans="1:12" ht="15.75" x14ac:dyDescent="0.2">
      <c r="A8" s="8"/>
      <c r="B8" s="9"/>
      <c r="C8" s="117" t="s">
        <v>135</v>
      </c>
      <c r="D8" s="118"/>
      <c r="E8" s="118"/>
      <c r="F8" s="119"/>
      <c r="G8" s="10">
        <f>0.193^2*0.7854*8.89*12/10*1.02*1.015</f>
        <v>0.32311322645601387</v>
      </c>
      <c r="H8" s="63">
        <f>H7</f>
        <v>71.215398230088496</v>
      </c>
      <c r="I8" s="120">
        <f>G8*H8</f>
        <v>23.010637095473793</v>
      </c>
      <c r="J8" s="53"/>
      <c r="K8" s="53"/>
    </row>
    <row r="9" spans="1:12" ht="17.25" x14ac:dyDescent="0.2">
      <c r="A9" s="8">
        <v>2</v>
      </c>
      <c r="B9" s="9" t="s">
        <v>21</v>
      </c>
      <c r="C9" s="211" t="s">
        <v>136</v>
      </c>
      <c r="D9" s="212"/>
      <c r="E9" s="212"/>
      <c r="F9" s="213"/>
      <c r="G9" s="10">
        <f>(2.05^2-1.26^2*0.85)*0.7854*1.43/10*1.015*2</f>
        <v>0.65047533414863967</v>
      </c>
      <c r="H9" s="64">
        <f>10.36+0.3</f>
        <v>10.66</v>
      </c>
      <c r="I9" s="120">
        <f>G9*H9</f>
        <v>6.9340670620244991</v>
      </c>
      <c r="J9" s="1"/>
      <c r="K9" s="1"/>
    </row>
    <row r="10" spans="1:12" ht="17.25" x14ac:dyDescent="0.2">
      <c r="A10" s="8"/>
      <c r="B10" s="9"/>
      <c r="C10" s="211" t="s">
        <v>137</v>
      </c>
      <c r="D10" s="212"/>
      <c r="E10" s="212"/>
      <c r="F10" s="213"/>
      <c r="G10" s="10">
        <f>(1.35^2-0.79^2*0.85)*0.7854*1.43/10*1.015</f>
        <v>0.147285682789245</v>
      </c>
      <c r="H10" s="64">
        <f>H9</f>
        <v>10.66</v>
      </c>
      <c r="I10" s="120">
        <f>G10*H10</f>
        <v>1.5700653785333518</v>
      </c>
    </row>
    <row r="11" spans="1:12" ht="15.75" x14ac:dyDescent="0.2">
      <c r="A11" s="8">
        <v>3</v>
      </c>
      <c r="B11" s="9" t="s">
        <v>23</v>
      </c>
      <c r="C11" s="211" t="s">
        <v>138</v>
      </c>
      <c r="D11" s="212"/>
      <c r="E11" s="212"/>
      <c r="F11" s="213"/>
      <c r="G11" s="10">
        <f>(5.55^2-4^2*0.85)*0.7854*1.43/10</f>
        <v>1.9320506205000001</v>
      </c>
      <c r="H11" s="133">
        <f>10.76+0.3</f>
        <v>11.06</v>
      </c>
      <c r="I11" s="120">
        <f>G11*H11</f>
        <v>21.368479862730002</v>
      </c>
    </row>
    <row r="12" spans="1:12" ht="15.75" x14ac:dyDescent="0.2">
      <c r="A12" s="121" t="s">
        <v>25</v>
      </c>
      <c r="B12" s="13">
        <f>I12/100</f>
        <v>1.7560664724128854</v>
      </c>
      <c r="C12" s="156" t="s">
        <v>26</v>
      </c>
      <c r="D12" s="156"/>
      <c r="E12" s="156"/>
      <c r="F12" s="156"/>
      <c r="G12" s="14">
        <f>SUM(G7:G11)/100</f>
        <v>4.7761954049926392E-2</v>
      </c>
      <c r="H12" s="15" t="s">
        <v>27</v>
      </c>
      <c r="I12" s="16">
        <f>SUM(I7:I11)</f>
        <v>175.60664724128853</v>
      </c>
      <c r="J12" s="56">
        <f>B12*1.13/I25</f>
        <v>0.7892020316537619</v>
      </c>
      <c r="K12" s="57">
        <f>G12*G23</f>
        <v>477.61954049926391</v>
      </c>
    </row>
    <row r="13" spans="1:12" ht="36" x14ac:dyDescent="0.2">
      <c r="A13" s="122" t="s">
        <v>10</v>
      </c>
      <c r="B13" s="123" t="s">
        <v>28</v>
      </c>
      <c r="C13" s="123" t="s">
        <v>29</v>
      </c>
      <c r="D13" s="122" t="s">
        <v>30</v>
      </c>
      <c r="E13" s="122" t="s">
        <v>31</v>
      </c>
      <c r="F13" s="123" t="s">
        <v>32</v>
      </c>
      <c r="G13" s="123" t="s">
        <v>33</v>
      </c>
      <c r="H13" s="124" t="s">
        <v>34</v>
      </c>
      <c r="I13" s="122" t="s">
        <v>35</v>
      </c>
    </row>
    <row r="14" spans="1:12" ht="15.75" x14ac:dyDescent="0.2">
      <c r="A14" s="9" t="s">
        <v>19</v>
      </c>
      <c r="B14" s="125">
        <f>0.24*2</f>
        <v>0.48</v>
      </c>
      <c r="C14" s="126">
        <v>0</v>
      </c>
      <c r="D14" s="21">
        <v>15</v>
      </c>
      <c r="E14" s="21">
        <f>B14*D14*G23/1000+C14*D14*G21</f>
        <v>72</v>
      </c>
      <c r="F14" s="21">
        <v>0.5</v>
      </c>
      <c r="G14" s="21">
        <v>0</v>
      </c>
      <c r="H14" s="99">
        <f>F14*I7</f>
        <v>61.361698921263454</v>
      </c>
      <c r="I14" s="21">
        <f>E14+H14*G21</f>
        <v>133.36169892126344</v>
      </c>
    </row>
    <row r="15" spans="1:12" ht="15.75" x14ac:dyDescent="0.2">
      <c r="A15" s="9" t="s">
        <v>19</v>
      </c>
      <c r="B15" s="125">
        <v>0.28000000000000003</v>
      </c>
      <c r="C15" s="126">
        <v>0</v>
      </c>
      <c r="D15" s="21">
        <v>15</v>
      </c>
      <c r="E15" s="21">
        <f>B15*D15*G23/1000+C15*D15*G21</f>
        <v>42</v>
      </c>
      <c r="F15" s="21">
        <v>0.5</v>
      </c>
      <c r="G15" s="21">
        <v>0</v>
      </c>
      <c r="H15" s="99">
        <f>F15*I8</f>
        <v>11.505318547736897</v>
      </c>
      <c r="I15" s="21">
        <f>E15+H15*G21</f>
        <v>53.505318547736898</v>
      </c>
    </row>
    <row r="16" spans="1:12" ht="15.75" x14ac:dyDescent="0.2">
      <c r="A16" s="9" t="s">
        <v>21</v>
      </c>
      <c r="B16" s="127">
        <f>1000/60/220*2</f>
        <v>0.15151515151515152</v>
      </c>
      <c r="C16" s="128">
        <v>0</v>
      </c>
      <c r="D16" s="21">
        <v>140</v>
      </c>
      <c r="E16" s="129">
        <f>B16*D16*G23/1000+C16*D16*G21</f>
        <v>212.1212121212121</v>
      </c>
      <c r="F16" s="21">
        <v>0.5</v>
      </c>
      <c r="G16" s="21">
        <v>5</v>
      </c>
      <c r="H16" s="99">
        <f>F16*(I7+I9)+G16*H9</f>
        <v>118.1287324522757</v>
      </c>
      <c r="I16" s="21">
        <f>E16+H16*G21</f>
        <v>330.24994457348782</v>
      </c>
    </row>
    <row r="17" spans="1:10" ht="15.75" x14ac:dyDescent="0.2">
      <c r="A17" s="9" t="s">
        <v>21</v>
      </c>
      <c r="B17" s="127">
        <f>1000/60/250</f>
        <v>6.6666666666666666E-2</v>
      </c>
      <c r="C17" s="128">
        <v>0</v>
      </c>
      <c r="D17" s="21">
        <v>140</v>
      </c>
      <c r="E17" s="129">
        <f>B17*D17*G23/1000+C17*D17*G21</f>
        <v>93.333333333333343</v>
      </c>
      <c r="F17" s="21">
        <v>0.5</v>
      </c>
      <c r="G17" s="21">
        <v>5</v>
      </c>
      <c r="H17" s="99">
        <f>F17*(I8+I10)+G17*H10</f>
        <v>65.590351237003574</v>
      </c>
      <c r="I17" s="21">
        <f>E17+H17*G21</f>
        <v>158.92368457033692</v>
      </c>
    </row>
    <row r="18" spans="1:10" ht="15.75" x14ac:dyDescent="0.2">
      <c r="A18" s="46" t="s">
        <v>36</v>
      </c>
      <c r="B18" s="127">
        <f>1000/60/40</f>
        <v>0.41666666666666669</v>
      </c>
      <c r="C18" s="128">
        <v>0</v>
      </c>
      <c r="D18" s="21">
        <v>40</v>
      </c>
      <c r="E18" s="129">
        <f>B18*D18*G23/1000+C18*D18*G21</f>
        <v>166.66666666666669</v>
      </c>
      <c r="F18" s="129">
        <v>0.1</v>
      </c>
      <c r="G18" s="130">
        <v>0</v>
      </c>
      <c r="H18" s="99">
        <f>F18*(I12-I11)</f>
        <v>15.423816737855853</v>
      </c>
      <c r="I18" s="21">
        <f>E18+H18*G21</f>
        <v>182.09048340452253</v>
      </c>
    </row>
    <row r="19" spans="1:10" ht="15.75" x14ac:dyDescent="0.2">
      <c r="A19" s="9" t="s">
        <v>23</v>
      </c>
      <c r="B19" s="131">
        <f>1000/60/50</f>
        <v>0.33333333333333337</v>
      </c>
      <c r="C19" s="126">
        <v>0</v>
      </c>
      <c r="D19" s="21">
        <v>140</v>
      </c>
      <c r="E19" s="21">
        <f>B19*D19*G23/1000+C19*D19*G21</f>
        <v>466.66666666666669</v>
      </c>
      <c r="F19" s="21">
        <v>1</v>
      </c>
      <c r="G19" s="21">
        <v>5</v>
      </c>
      <c r="H19" s="99">
        <f>F19*I12+G19*H11</f>
        <v>230.90664724128854</v>
      </c>
      <c r="I19" s="21">
        <f>E19+H19*G21</f>
        <v>697.57331390795525</v>
      </c>
    </row>
    <row r="20" spans="1:10" ht="24" x14ac:dyDescent="0.2">
      <c r="A20" s="157" t="s">
        <v>37</v>
      </c>
      <c r="B20" s="158"/>
      <c r="C20" s="28" t="s">
        <v>38</v>
      </c>
      <c r="D20" s="28" t="s">
        <v>39</v>
      </c>
      <c r="E20" s="28" t="s">
        <v>40</v>
      </c>
      <c r="F20" s="29" t="s">
        <v>41</v>
      </c>
      <c r="G20" s="30" t="s">
        <v>42</v>
      </c>
      <c r="H20" s="31" t="s">
        <v>43</v>
      </c>
      <c r="I20" s="102">
        <f>SUM(I14:I19)</f>
        <v>1555.7044439253027</v>
      </c>
    </row>
    <row r="21" spans="1:10" ht="15" x14ac:dyDescent="0.2">
      <c r="A21" s="159"/>
      <c r="B21" s="160"/>
      <c r="C21" s="58">
        <v>0</v>
      </c>
      <c r="D21" s="58">
        <v>0.85</v>
      </c>
      <c r="E21" s="33">
        <v>6.7000000000000002E-3</v>
      </c>
      <c r="F21" s="73">
        <v>0.02</v>
      </c>
      <c r="G21" s="35">
        <v>1</v>
      </c>
      <c r="H21" s="163" t="s">
        <v>44</v>
      </c>
      <c r="I21" s="143" t="s">
        <v>45</v>
      </c>
      <c r="J21" s="108">
        <f>(D21*K12+C23)/G23*1.13/I25</f>
        <v>2.2739331021924485E-2</v>
      </c>
    </row>
    <row r="22" spans="1:10" x14ac:dyDescent="0.2">
      <c r="A22" s="159"/>
      <c r="B22" s="160"/>
      <c r="C22" s="30" t="s">
        <v>37</v>
      </c>
      <c r="D22" s="36" t="s">
        <v>46</v>
      </c>
      <c r="E22" s="28" t="s">
        <v>47</v>
      </c>
      <c r="F22" s="31" t="s">
        <v>48</v>
      </c>
      <c r="G22" s="37" t="s">
        <v>49</v>
      </c>
      <c r="H22" s="163"/>
      <c r="I22" s="144"/>
    </row>
    <row r="23" spans="1:10" ht="18.75" x14ac:dyDescent="0.2">
      <c r="A23" s="159"/>
      <c r="B23" s="160"/>
      <c r="C23" s="76">
        <f>200/20000*G23</f>
        <v>100</v>
      </c>
      <c r="D23" s="77">
        <v>0.08</v>
      </c>
      <c r="E23" s="132">
        <v>0</v>
      </c>
      <c r="F23" s="59">
        <v>0.13</v>
      </c>
      <c r="G23" s="75">
        <v>10000</v>
      </c>
      <c r="H23" s="39">
        <f>I20/G23+B12+B12*F21</f>
        <v>1.9467582462536734</v>
      </c>
      <c r="I23" s="65">
        <f>(H23/(1-D23)+C21+E21+E23/G23+C23/G23+C25*D25+D21*G12)*(1+F23)*(1+E25+F25)</f>
        <v>2.4853438132406485</v>
      </c>
    </row>
    <row r="24" spans="1:10" x14ac:dyDescent="0.2">
      <c r="A24" s="159"/>
      <c r="B24" s="160"/>
      <c r="C24" s="29" t="s">
        <v>50</v>
      </c>
      <c r="D24" s="29" t="s">
        <v>51</v>
      </c>
      <c r="E24" s="60" t="s">
        <v>52</v>
      </c>
      <c r="F24" s="60" t="s">
        <v>53</v>
      </c>
      <c r="G24" s="60" t="s">
        <v>54</v>
      </c>
      <c r="H24" s="40" t="s">
        <v>55</v>
      </c>
      <c r="I24" s="66" t="s">
        <v>56</v>
      </c>
    </row>
    <row r="25" spans="1:10" ht="18.75" x14ac:dyDescent="0.2">
      <c r="A25" s="161"/>
      <c r="B25" s="162"/>
      <c r="C25" s="41">
        <v>0</v>
      </c>
      <c r="D25" s="42">
        <v>0</v>
      </c>
      <c r="E25" s="61">
        <v>7.0000000000000001E-3</v>
      </c>
      <c r="F25" s="61">
        <v>5.0000000000000001E-3</v>
      </c>
      <c r="G25" s="62">
        <v>0.15</v>
      </c>
      <c r="H25" s="39">
        <f>(H23+C21+E21+E23/G23+C23/G23+C25*D25+D21*G12)*(1+F23)*(1+E25+F25)</f>
        <v>2.291758173233184</v>
      </c>
      <c r="I25" s="65">
        <f>I23+(I23-H25)*G25</f>
        <v>2.514381659241768</v>
      </c>
    </row>
  </sheetData>
  <mergeCells count="17">
    <mergeCell ref="J1:K2"/>
    <mergeCell ref="C7:F7"/>
    <mergeCell ref="C9:F9"/>
    <mergeCell ref="C10:F10"/>
    <mergeCell ref="C11:F11"/>
    <mergeCell ref="A20:B25"/>
    <mergeCell ref="A1:I1"/>
    <mergeCell ref="B3:F3"/>
    <mergeCell ref="H3:I3"/>
    <mergeCell ref="B4:F4"/>
    <mergeCell ref="H4:I4"/>
    <mergeCell ref="A5:A6"/>
    <mergeCell ref="B5:B6"/>
    <mergeCell ref="C5:F6"/>
    <mergeCell ref="H21:H22"/>
    <mergeCell ref="I21:I22"/>
    <mergeCell ref="C12:F12"/>
  </mergeCells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6AB8-A664-43DC-A6FC-13F89BF1E521}">
  <dimension ref="A1:L21"/>
  <sheetViews>
    <sheetView workbookViewId="0">
      <selection activeCell="O18" sqref="O18"/>
    </sheetView>
  </sheetViews>
  <sheetFormatPr defaultRowHeight="14.25" x14ac:dyDescent="0.2"/>
  <cols>
    <col min="1" max="6" width="9" style="1"/>
    <col min="7" max="7" width="12.375" style="1" customWidth="1"/>
    <col min="8" max="8" width="12.125" style="1" customWidth="1"/>
    <col min="9" max="9" width="14" style="1" customWidth="1"/>
    <col min="10" max="16384" width="9" style="1"/>
  </cols>
  <sheetData>
    <row r="1" spans="1:12" ht="25.5" x14ac:dyDescent="0.2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210" t="s">
        <v>139</v>
      </c>
      <c r="K1" s="170"/>
      <c r="L1" s="1" t="s">
        <v>84</v>
      </c>
    </row>
    <row r="2" spans="1:12" ht="25.5" x14ac:dyDescent="0.2">
      <c r="A2" s="67"/>
      <c r="B2" s="67"/>
      <c r="C2" s="67"/>
      <c r="D2" s="67"/>
      <c r="E2" s="134"/>
      <c r="F2" s="135"/>
      <c r="G2" s="135"/>
      <c r="H2" s="135" t="s">
        <v>1</v>
      </c>
      <c r="I2" s="45" t="s">
        <v>143</v>
      </c>
      <c r="J2" s="170"/>
      <c r="K2" s="170"/>
      <c r="L2" s="1" t="s">
        <v>140</v>
      </c>
    </row>
    <row r="3" spans="1:12" x14ac:dyDescent="0.2">
      <c r="A3" s="6" t="s">
        <v>3</v>
      </c>
      <c r="B3" s="179" t="s">
        <v>116</v>
      </c>
      <c r="C3" s="180"/>
      <c r="D3" s="180"/>
      <c r="E3" s="180"/>
      <c r="F3" s="181"/>
      <c r="G3" s="46" t="s">
        <v>4</v>
      </c>
      <c r="H3" s="182">
        <v>45831</v>
      </c>
      <c r="I3" s="183"/>
      <c r="J3" s="85" t="s">
        <v>65</v>
      </c>
      <c r="K3" s="85"/>
    </row>
    <row r="4" spans="1:12" x14ac:dyDescent="0.2">
      <c r="A4" s="6" t="s">
        <v>5</v>
      </c>
      <c r="B4" s="189" t="s">
        <v>144</v>
      </c>
      <c r="C4" s="190"/>
      <c r="D4" s="190"/>
      <c r="E4" s="190"/>
      <c r="F4" s="191"/>
      <c r="G4" s="6" t="s">
        <v>7</v>
      </c>
      <c r="H4" s="192" t="s">
        <v>145</v>
      </c>
      <c r="I4" s="192"/>
    </row>
    <row r="5" spans="1:12" x14ac:dyDescent="0.2">
      <c r="A5" s="150" t="s">
        <v>9</v>
      </c>
      <c r="B5" s="151" t="s">
        <v>10</v>
      </c>
      <c r="C5" s="152" t="s">
        <v>11</v>
      </c>
      <c r="D5" s="152"/>
      <c r="E5" s="152"/>
      <c r="F5" s="152"/>
      <c r="G5" s="6" t="s">
        <v>12</v>
      </c>
      <c r="H5" s="6" t="s">
        <v>13</v>
      </c>
      <c r="I5" s="6" t="s">
        <v>14</v>
      </c>
    </row>
    <row r="6" spans="1:12" ht="15.75" x14ac:dyDescent="0.2">
      <c r="A6" s="150"/>
      <c r="B6" s="150"/>
      <c r="C6" s="152"/>
      <c r="D6" s="152"/>
      <c r="E6" s="152"/>
      <c r="F6" s="152"/>
      <c r="G6" s="6" t="s">
        <v>15</v>
      </c>
      <c r="H6" s="7" t="s">
        <v>16</v>
      </c>
      <c r="I6" s="7" t="s">
        <v>17</v>
      </c>
    </row>
    <row r="7" spans="1:12" ht="15.75" x14ac:dyDescent="0.15">
      <c r="A7" s="46">
        <v>1</v>
      </c>
      <c r="B7" s="47" t="s">
        <v>19</v>
      </c>
      <c r="C7" s="153" t="s">
        <v>146</v>
      </c>
      <c r="D7" s="154"/>
      <c r="E7" s="154"/>
      <c r="F7" s="155"/>
      <c r="G7" s="48">
        <f>0.158^2*26*0.7854*8.89/10*3*1.015*1.015</f>
        <v>1.4006625567043307</v>
      </c>
      <c r="H7" s="63">
        <f>(J7+1140)/1.13/1000+5.18</f>
        <v>76.985309734513294</v>
      </c>
      <c r="I7" s="137">
        <f>G7*H7</f>
        <v>107.83044076141819</v>
      </c>
      <c r="J7" s="55">
        <v>80000</v>
      </c>
    </row>
    <row r="8" spans="1:12" ht="15.75" x14ac:dyDescent="0.2">
      <c r="A8" s="46">
        <v>2</v>
      </c>
      <c r="B8" s="47" t="s">
        <v>21</v>
      </c>
      <c r="C8" s="153" t="s">
        <v>147</v>
      </c>
      <c r="D8" s="154"/>
      <c r="E8" s="154"/>
      <c r="F8" s="155"/>
      <c r="G8" s="48">
        <f>(2.05^2-1.16^2*0.85)*0.7854*1.48/10*3*1.015</f>
        <v>1.0826360189013597</v>
      </c>
      <c r="H8" s="64">
        <v>7.75</v>
      </c>
      <c r="I8" s="137">
        <f>G8*H8</f>
        <v>8.3904291464855376</v>
      </c>
    </row>
    <row r="9" spans="1:12" ht="15.75" x14ac:dyDescent="0.2">
      <c r="A9" s="46">
        <v>3</v>
      </c>
      <c r="B9" s="46" t="s">
        <v>23</v>
      </c>
      <c r="C9" s="153" t="s">
        <v>148</v>
      </c>
      <c r="D9" s="154"/>
      <c r="E9" s="154"/>
      <c r="F9" s="155"/>
      <c r="G9" s="48">
        <f>(5.95^2-4.3^2*0.85)*0.7854*1.47/10</f>
        <v>2.2728235068000009</v>
      </c>
      <c r="H9" s="64">
        <v>10.55</v>
      </c>
      <c r="I9" s="137">
        <f>G9*H9</f>
        <v>23.978287996740011</v>
      </c>
    </row>
    <row r="10" spans="1:12" ht="15.75" x14ac:dyDescent="0.15">
      <c r="A10" s="12" t="s">
        <v>25</v>
      </c>
      <c r="B10" s="13">
        <f>I10/100</f>
        <v>1.4019915790464375</v>
      </c>
      <c r="C10" s="156" t="s">
        <v>26</v>
      </c>
      <c r="D10" s="156"/>
      <c r="E10" s="156"/>
      <c r="F10" s="156"/>
      <c r="G10" s="14">
        <f>SUM(G7:G9)/100</f>
        <v>4.7561220824056914E-2</v>
      </c>
      <c r="H10" s="15" t="s">
        <v>27</v>
      </c>
      <c r="I10" s="16">
        <f>SUM(I7:I9)</f>
        <v>140.19915790464376</v>
      </c>
      <c r="J10" s="56">
        <f>B10*1.13/I21</f>
        <v>0.79179721387227431</v>
      </c>
      <c r="K10" s="57">
        <f>G10*G19</f>
        <v>951.22441648113829</v>
      </c>
    </row>
    <row r="11" spans="1:12" ht="36" x14ac:dyDescent="0.2">
      <c r="A11" s="17" t="s">
        <v>10</v>
      </c>
      <c r="B11" s="18" t="s">
        <v>28</v>
      </c>
      <c r="C11" s="17" t="s">
        <v>29</v>
      </c>
      <c r="D11" s="17" t="s">
        <v>30</v>
      </c>
      <c r="E11" s="17" t="s">
        <v>31</v>
      </c>
      <c r="F11" s="18" t="s">
        <v>32</v>
      </c>
      <c r="G11" s="18" t="s">
        <v>33</v>
      </c>
      <c r="H11" s="19" t="s">
        <v>34</v>
      </c>
      <c r="I11" s="17" t="s">
        <v>35</v>
      </c>
    </row>
    <row r="12" spans="1:12" ht="15.75" x14ac:dyDescent="0.2">
      <c r="A12" s="46" t="s">
        <v>19</v>
      </c>
      <c r="B12" s="68">
        <f>0.24*3</f>
        <v>0.72</v>
      </c>
      <c r="C12" s="20">
        <v>0</v>
      </c>
      <c r="D12" s="21">
        <v>10</v>
      </c>
      <c r="E12" s="69">
        <f>B12*D12*G19/1000+C12*D12*G17</f>
        <v>144</v>
      </c>
      <c r="F12" s="70">
        <v>1</v>
      </c>
      <c r="G12" s="136">
        <v>0</v>
      </c>
      <c r="H12" s="99">
        <f>F12*I7</f>
        <v>107.83044076141819</v>
      </c>
      <c r="I12" s="21">
        <f>E12+H12*G17</f>
        <v>251.83044076141817</v>
      </c>
    </row>
    <row r="13" spans="1:12" ht="15.75" x14ac:dyDescent="0.2">
      <c r="A13" s="46" t="s">
        <v>21</v>
      </c>
      <c r="B13" s="68">
        <f>1000/60/150*3</f>
        <v>0.33333333333333337</v>
      </c>
      <c r="C13" s="20">
        <v>0</v>
      </c>
      <c r="D13" s="21">
        <v>120</v>
      </c>
      <c r="E13" s="69">
        <f>B13*D13*G19/1000+C13*D13*G17</f>
        <v>800.00000000000011</v>
      </c>
      <c r="F13" s="70">
        <v>1.5</v>
      </c>
      <c r="G13" s="72">
        <v>2</v>
      </c>
      <c r="H13" s="99">
        <f>F13*(I8+I7)+G13*H8</f>
        <v>189.83130486185559</v>
      </c>
      <c r="I13" s="21">
        <f>E13+H13*G17</f>
        <v>989.83130486185564</v>
      </c>
    </row>
    <row r="14" spans="1:12" ht="15.75" x14ac:dyDescent="0.2">
      <c r="A14" s="46" t="s">
        <v>36</v>
      </c>
      <c r="B14" s="68">
        <f>1000/60/30</f>
        <v>0.55555555555555558</v>
      </c>
      <c r="C14" s="20">
        <v>0</v>
      </c>
      <c r="D14" s="21">
        <v>40</v>
      </c>
      <c r="E14" s="69">
        <f>B14*D14*G19/1000+C14*D14*G17</f>
        <v>444.44444444444446</v>
      </c>
      <c r="F14" s="70">
        <v>0.2</v>
      </c>
      <c r="G14" s="72">
        <v>0</v>
      </c>
      <c r="H14" s="99">
        <f>F14*(I8+I7)</f>
        <v>23.244173981580747</v>
      </c>
      <c r="I14" s="21">
        <f>E14+H14*G17</f>
        <v>467.68861842602519</v>
      </c>
    </row>
    <row r="15" spans="1:12" ht="15.75" x14ac:dyDescent="0.2">
      <c r="A15" s="46" t="s">
        <v>23</v>
      </c>
      <c r="B15" s="68">
        <f>1000/60/50</f>
        <v>0.33333333333333337</v>
      </c>
      <c r="C15" s="20">
        <v>0</v>
      </c>
      <c r="D15" s="21">
        <v>140</v>
      </c>
      <c r="E15" s="69">
        <f>B15*D15*G19/1000+C15*D15*G17</f>
        <v>933.33333333333337</v>
      </c>
      <c r="F15" s="70">
        <v>1</v>
      </c>
      <c r="G15" s="72">
        <v>10</v>
      </c>
      <c r="H15" s="99">
        <f>F15*I10+G15*H9</f>
        <v>245.69915790464376</v>
      </c>
      <c r="I15" s="21">
        <f>E15+H15*G17</f>
        <v>1179.0324912379772</v>
      </c>
    </row>
    <row r="16" spans="1:12" ht="24" x14ac:dyDescent="0.2">
      <c r="A16" s="157" t="s">
        <v>37</v>
      </c>
      <c r="B16" s="158"/>
      <c r="C16" s="28" t="s">
        <v>38</v>
      </c>
      <c r="D16" s="28" t="s">
        <v>39</v>
      </c>
      <c r="E16" s="28" t="s">
        <v>40</v>
      </c>
      <c r="F16" s="29" t="s">
        <v>41</v>
      </c>
      <c r="G16" s="30" t="s">
        <v>42</v>
      </c>
      <c r="H16" s="31" t="s">
        <v>43</v>
      </c>
      <c r="I16" s="32">
        <f>SUM(I12:I15)</f>
        <v>2888.3828552872765</v>
      </c>
    </row>
    <row r="17" spans="1:9" ht="15" x14ac:dyDescent="0.2">
      <c r="A17" s="159"/>
      <c r="B17" s="160"/>
      <c r="C17" s="58">
        <v>2.5000000000000001E-3</v>
      </c>
      <c r="D17" s="58">
        <v>0.85</v>
      </c>
      <c r="E17" s="33">
        <v>6.7000000000000002E-3</v>
      </c>
      <c r="F17" s="34">
        <v>0.02</v>
      </c>
      <c r="G17" s="35">
        <v>1</v>
      </c>
      <c r="H17" s="163" t="s">
        <v>44</v>
      </c>
      <c r="I17" s="143" t="s">
        <v>45</v>
      </c>
    </row>
    <row r="18" spans="1:9" ht="24" x14ac:dyDescent="0.2">
      <c r="A18" s="159"/>
      <c r="B18" s="160"/>
      <c r="C18" s="30" t="s">
        <v>37</v>
      </c>
      <c r="D18" s="36" t="s">
        <v>46</v>
      </c>
      <c r="E18" s="28" t="s">
        <v>47</v>
      </c>
      <c r="F18" s="31" t="s">
        <v>48</v>
      </c>
      <c r="G18" s="37" t="s">
        <v>49</v>
      </c>
      <c r="H18" s="163"/>
      <c r="I18" s="144"/>
    </row>
    <row r="19" spans="1:9" ht="18.75" x14ac:dyDescent="0.2">
      <c r="A19" s="159"/>
      <c r="B19" s="160"/>
      <c r="C19" s="76">
        <f>200</f>
        <v>200</v>
      </c>
      <c r="D19" s="77">
        <v>0.06</v>
      </c>
      <c r="E19" s="132">
        <v>0</v>
      </c>
      <c r="F19" s="59">
        <v>0.13</v>
      </c>
      <c r="G19" s="75">
        <v>20000</v>
      </c>
      <c r="H19" s="39">
        <f>I16/G19+B10+B10*F17</f>
        <v>1.5744505533917299</v>
      </c>
      <c r="I19" s="65">
        <f>(H19/(1-D19)+C17+E17+E19/G19+C19/G19+C21*D21+D17*G10)*(1+F19)*(1+E21+F21)</f>
        <v>1.9835899408036246</v>
      </c>
    </row>
    <row r="20" spans="1:9" x14ac:dyDescent="0.2">
      <c r="A20" s="159"/>
      <c r="B20" s="160"/>
      <c r="C20" s="29" t="s">
        <v>50</v>
      </c>
      <c r="D20" s="29" t="s">
        <v>51</v>
      </c>
      <c r="E20" s="60" t="s">
        <v>52</v>
      </c>
      <c r="F20" s="60" t="s">
        <v>53</v>
      </c>
      <c r="G20" s="60" t="s">
        <v>54</v>
      </c>
      <c r="H20" s="40" t="s">
        <v>55</v>
      </c>
      <c r="I20" s="66" t="s">
        <v>56</v>
      </c>
    </row>
    <row r="21" spans="1:9" ht="18.75" x14ac:dyDescent="0.2">
      <c r="A21" s="161"/>
      <c r="B21" s="162"/>
      <c r="C21" s="41">
        <v>0</v>
      </c>
      <c r="D21" s="42">
        <v>0</v>
      </c>
      <c r="E21" s="61">
        <v>7.0000000000000001E-3</v>
      </c>
      <c r="F21" s="61">
        <v>5.0000000000000001E-3</v>
      </c>
      <c r="G21" s="62">
        <v>0.15</v>
      </c>
      <c r="H21" s="39">
        <f>(H19+C17+E17+E19/G19+C19/G19+C21*D21+D17*G10)*(1+F19)*(1+E21+F21)</f>
        <v>1.8686657700693707</v>
      </c>
      <c r="I21" s="65">
        <f>I19+(I19-H21)*G21</f>
        <v>2.0008285664137628</v>
      </c>
    </row>
  </sheetData>
  <mergeCells count="16">
    <mergeCell ref="A16:B21"/>
    <mergeCell ref="H17:H18"/>
    <mergeCell ref="A1:I1"/>
    <mergeCell ref="B3:F3"/>
    <mergeCell ref="H3:I3"/>
    <mergeCell ref="B4:F4"/>
    <mergeCell ref="H4:I4"/>
    <mergeCell ref="A5:A6"/>
    <mergeCell ref="B5:B6"/>
    <mergeCell ref="C5:F6"/>
    <mergeCell ref="I17:I18"/>
    <mergeCell ref="J1:K2"/>
    <mergeCell ref="C7:F7"/>
    <mergeCell ref="C8:F8"/>
    <mergeCell ref="C9:F9"/>
    <mergeCell ref="C10:F10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7F10-0F6F-4861-A6DC-F154130C9E33}">
  <dimension ref="A1:O43"/>
  <sheetViews>
    <sheetView workbookViewId="0">
      <selection activeCell="L18" sqref="L18"/>
    </sheetView>
  </sheetViews>
  <sheetFormatPr defaultRowHeight="14.25" x14ac:dyDescent="0.2"/>
  <cols>
    <col min="9" max="9" width="16.375" customWidth="1"/>
  </cols>
  <sheetData>
    <row r="1" spans="1:15" ht="25.5" x14ac:dyDescent="0.2">
      <c r="A1" s="171" t="s">
        <v>162</v>
      </c>
      <c r="B1" s="171"/>
      <c r="C1" s="171"/>
      <c r="D1" s="171"/>
      <c r="E1" s="171"/>
      <c r="F1" s="171"/>
      <c r="G1" s="171"/>
      <c r="H1" s="171"/>
      <c r="I1" s="171"/>
      <c r="J1" s="210" t="s">
        <v>139</v>
      </c>
      <c r="K1" s="170"/>
      <c r="L1" s="1" t="s">
        <v>84</v>
      </c>
    </row>
    <row r="2" spans="1:15" ht="25.5" x14ac:dyDescent="0.2">
      <c r="A2" s="67"/>
      <c r="B2" s="67"/>
      <c r="C2" s="67"/>
      <c r="D2" s="67"/>
      <c r="E2" s="43"/>
      <c r="F2" s="3"/>
      <c r="G2" s="3"/>
      <c r="H2" s="3" t="s">
        <v>1</v>
      </c>
      <c r="I2" s="45" t="s">
        <v>149</v>
      </c>
      <c r="J2" s="170"/>
      <c r="K2" s="170"/>
      <c r="L2" s="1" t="s">
        <v>140</v>
      </c>
    </row>
    <row r="3" spans="1:15" x14ac:dyDescent="0.2">
      <c r="A3" s="6" t="s">
        <v>3</v>
      </c>
      <c r="B3" s="179" t="s">
        <v>116</v>
      </c>
      <c r="C3" s="180"/>
      <c r="D3" s="180"/>
      <c r="E3" s="180"/>
      <c r="F3" s="181"/>
      <c r="G3" s="46" t="s">
        <v>4</v>
      </c>
      <c r="H3" s="182">
        <v>45211</v>
      </c>
      <c r="I3" s="183"/>
      <c r="J3" s="85" t="s">
        <v>65</v>
      </c>
      <c r="K3" s="85"/>
      <c r="L3" s="1"/>
    </row>
    <row r="4" spans="1:15" x14ac:dyDescent="0.2">
      <c r="A4" s="6" t="s">
        <v>5</v>
      </c>
      <c r="B4" s="189" t="s">
        <v>150</v>
      </c>
      <c r="C4" s="190"/>
      <c r="D4" s="190"/>
      <c r="E4" s="190"/>
      <c r="F4" s="191"/>
      <c r="G4" s="6" t="s">
        <v>7</v>
      </c>
      <c r="H4" s="192" t="s">
        <v>151</v>
      </c>
      <c r="I4" s="192"/>
      <c r="J4" s="139" t="s">
        <v>156</v>
      </c>
      <c r="O4" s="138" t="s">
        <v>165</v>
      </c>
    </row>
    <row r="5" spans="1:15" x14ac:dyDescent="0.2">
      <c r="A5" s="150" t="s">
        <v>9</v>
      </c>
      <c r="B5" s="151" t="s">
        <v>10</v>
      </c>
      <c r="C5" s="152" t="s">
        <v>11</v>
      </c>
      <c r="D5" s="152"/>
      <c r="E5" s="152"/>
      <c r="F5" s="152"/>
      <c r="G5" s="6" t="s">
        <v>12</v>
      </c>
      <c r="H5" s="6" t="s">
        <v>13</v>
      </c>
      <c r="I5" s="6" t="s">
        <v>14</v>
      </c>
    </row>
    <row r="6" spans="1:15" ht="15.75" x14ac:dyDescent="0.2">
      <c r="A6" s="150"/>
      <c r="B6" s="150"/>
      <c r="C6" s="152"/>
      <c r="D6" s="152"/>
      <c r="E6" s="152"/>
      <c r="F6" s="152"/>
      <c r="G6" s="6" t="s">
        <v>15</v>
      </c>
      <c r="H6" s="7" t="s">
        <v>16</v>
      </c>
      <c r="I6" s="7" t="s">
        <v>17</v>
      </c>
    </row>
    <row r="7" spans="1:15" ht="15.75" x14ac:dyDescent="0.2">
      <c r="A7" s="46">
        <v>1</v>
      </c>
      <c r="B7" s="47" t="s">
        <v>19</v>
      </c>
      <c r="C7" s="153" t="s">
        <v>152</v>
      </c>
      <c r="D7" s="154"/>
      <c r="E7" s="154"/>
      <c r="F7" s="155"/>
      <c r="G7" s="48">
        <f>0.158^2*41*0.7854*8.89/10*5*1.015*1.015</f>
        <v>3.681228514415229</v>
      </c>
      <c r="H7" s="63">
        <f>(J7+1140)/1.13/1000+5.18</f>
        <v>76.985309734513294</v>
      </c>
      <c r="I7" s="11">
        <f>G7*H7</f>
        <v>283.40051738577864</v>
      </c>
      <c r="J7">
        <v>80000</v>
      </c>
    </row>
    <row r="8" spans="1:15" ht="15.75" x14ac:dyDescent="0.2">
      <c r="A8" s="46">
        <v>2</v>
      </c>
      <c r="B8" s="47" t="s">
        <v>21</v>
      </c>
      <c r="C8" s="153" t="s">
        <v>153</v>
      </c>
      <c r="D8" s="154"/>
      <c r="E8" s="154"/>
      <c r="F8" s="155"/>
      <c r="G8" s="48">
        <f>(2.35^2-1.16^2*0.85)*0.7854*1.48/10*5*1.015</f>
        <v>2.5830797656355999</v>
      </c>
      <c r="H8" s="64">
        <f>8.31+0.5</f>
        <v>8.81</v>
      </c>
      <c r="I8" s="11">
        <f>G8*H8</f>
        <v>22.756932735249638</v>
      </c>
    </row>
    <row r="9" spans="1:15" ht="15.75" x14ac:dyDescent="0.2">
      <c r="A9" s="46">
        <v>3</v>
      </c>
      <c r="B9" s="47" t="s">
        <v>121</v>
      </c>
      <c r="C9" s="214" t="s">
        <v>154</v>
      </c>
      <c r="D9" s="154"/>
      <c r="E9" s="154"/>
      <c r="F9" s="155"/>
      <c r="G9" s="48">
        <f>3.67/10</f>
        <v>0.36699999999999999</v>
      </c>
      <c r="H9" s="64">
        <v>22</v>
      </c>
      <c r="I9" s="11">
        <f>G9*H9</f>
        <v>8.0739999999999998</v>
      </c>
    </row>
    <row r="10" spans="1:15" ht="15.75" x14ac:dyDescent="0.2">
      <c r="A10" s="46">
        <v>4</v>
      </c>
      <c r="B10" s="46" t="s">
        <v>23</v>
      </c>
      <c r="C10" s="153" t="s">
        <v>155</v>
      </c>
      <c r="D10" s="154"/>
      <c r="E10" s="154"/>
      <c r="F10" s="155"/>
      <c r="G10" s="48">
        <f>(8.4^2-6.35^2*0.85)*0.7854*1.47/10</f>
        <v>4.1893421550749999</v>
      </c>
      <c r="H10" s="64">
        <f>5.29+0.5</f>
        <v>5.79</v>
      </c>
      <c r="I10" s="11">
        <f>G10*H10</f>
        <v>24.256291077884249</v>
      </c>
    </row>
    <row r="11" spans="1:15" ht="15.75" x14ac:dyDescent="0.2">
      <c r="A11" s="12" t="s">
        <v>25</v>
      </c>
      <c r="B11" s="13">
        <f>I11/100</f>
        <v>3.3848774119891254</v>
      </c>
      <c r="C11" s="156" t="s">
        <v>26</v>
      </c>
      <c r="D11" s="156"/>
      <c r="E11" s="156"/>
      <c r="F11" s="156"/>
      <c r="G11" s="14">
        <f>SUM(G7:G10)/100</f>
        <v>0.10820650435125828</v>
      </c>
      <c r="H11" s="15" t="s">
        <v>27</v>
      </c>
      <c r="I11" s="16">
        <f>SUM(I7:I10)</f>
        <v>338.48774119891254</v>
      </c>
      <c r="J11" s="56">
        <f>B11*1.13/I22</f>
        <v>0.78457931280284765</v>
      </c>
      <c r="K11" s="57">
        <f>G11*G20</f>
        <v>1082.0650435125829</v>
      </c>
    </row>
    <row r="12" spans="1:15" ht="36" x14ac:dyDescent="0.2">
      <c r="A12" s="17" t="s">
        <v>10</v>
      </c>
      <c r="B12" s="18" t="s">
        <v>28</v>
      </c>
      <c r="C12" s="17" t="s">
        <v>29</v>
      </c>
      <c r="D12" s="17" t="s">
        <v>30</v>
      </c>
      <c r="E12" s="17" t="s">
        <v>31</v>
      </c>
      <c r="F12" s="18" t="s">
        <v>32</v>
      </c>
      <c r="G12" s="18" t="s">
        <v>33</v>
      </c>
      <c r="H12" s="19" t="s">
        <v>34</v>
      </c>
      <c r="I12" s="17" t="s">
        <v>35</v>
      </c>
    </row>
    <row r="13" spans="1:15" ht="15.75" x14ac:dyDescent="0.2">
      <c r="A13" s="46" t="s">
        <v>19</v>
      </c>
      <c r="B13" s="68">
        <f>0.24*5</f>
        <v>1.2</v>
      </c>
      <c r="C13" s="20">
        <v>0</v>
      </c>
      <c r="D13" s="21">
        <v>10</v>
      </c>
      <c r="E13" s="69">
        <f>B13*D13*G20/1000+C13*D13*G18</f>
        <v>120</v>
      </c>
      <c r="F13" s="70">
        <v>1</v>
      </c>
      <c r="G13" s="71">
        <v>0</v>
      </c>
      <c r="H13" s="99">
        <f>F13*I7</f>
        <v>283.40051738577864</v>
      </c>
      <c r="I13" s="21">
        <f>E13+H13*G18</f>
        <v>403.40051738577864</v>
      </c>
    </row>
    <row r="14" spans="1:15" ht="15.75" x14ac:dyDescent="0.2">
      <c r="A14" s="46" t="s">
        <v>21</v>
      </c>
      <c r="B14" s="68">
        <f>1000/60/150*5</f>
        <v>0.55555555555555558</v>
      </c>
      <c r="C14" s="20">
        <v>0</v>
      </c>
      <c r="D14" s="21">
        <v>120</v>
      </c>
      <c r="E14" s="69">
        <f>B14*D14*G20/1000+C14*D14*G18</f>
        <v>666.66666666666674</v>
      </c>
      <c r="F14" s="70">
        <v>1.5</v>
      </c>
      <c r="G14" s="72">
        <v>2</v>
      </c>
      <c r="H14" s="99">
        <f>F14*(I8+I7)+G14*H8</f>
        <v>476.85617518154243</v>
      </c>
      <c r="I14" s="21">
        <f>E14+H14*G18</f>
        <v>1143.5228418482093</v>
      </c>
    </row>
    <row r="15" spans="1:15" ht="15.75" x14ac:dyDescent="0.2">
      <c r="A15" s="46" t="s">
        <v>36</v>
      </c>
      <c r="B15" s="68">
        <f>1000/60/30</f>
        <v>0.55555555555555558</v>
      </c>
      <c r="C15" s="20">
        <v>0</v>
      </c>
      <c r="D15" s="21">
        <v>40</v>
      </c>
      <c r="E15" s="69">
        <f>B15*D15*G20/1000+C15*D15*G18</f>
        <v>222.22222222222223</v>
      </c>
      <c r="F15" s="70">
        <v>0.2</v>
      </c>
      <c r="G15" s="72">
        <v>0</v>
      </c>
      <c r="H15" s="99">
        <f>F15*(I8+I7+I9)</f>
        <v>62.846290024205658</v>
      </c>
      <c r="I15" s="21">
        <f>E15+H15*G18</f>
        <v>285.06851224642787</v>
      </c>
    </row>
    <row r="16" spans="1:15" ht="15.75" x14ac:dyDescent="0.2">
      <c r="A16" s="46" t="s">
        <v>23</v>
      </c>
      <c r="B16" s="68">
        <f>1000/60/40</f>
        <v>0.41666666666666669</v>
      </c>
      <c r="C16" s="20">
        <v>0</v>
      </c>
      <c r="D16" s="21">
        <v>150</v>
      </c>
      <c r="E16" s="69">
        <f>B16*D16*G20/1000+C16*D16*G18</f>
        <v>625</v>
      </c>
      <c r="F16" s="70">
        <v>1</v>
      </c>
      <c r="G16" s="72">
        <v>10</v>
      </c>
      <c r="H16" s="99">
        <f>F16*I11+G16*H10</f>
        <v>396.38774119891252</v>
      </c>
      <c r="I16" s="21">
        <f>E16+H16*G18</f>
        <v>1021.3877411989125</v>
      </c>
    </row>
    <row r="17" spans="1:11" ht="24" x14ac:dyDescent="0.2">
      <c r="A17" s="157" t="s">
        <v>37</v>
      </c>
      <c r="B17" s="158"/>
      <c r="C17" s="28" t="s">
        <v>38</v>
      </c>
      <c r="D17" s="28" t="s">
        <v>39</v>
      </c>
      <c r="E17" s="28" t="s">
        <v>40</v>
      </c>
      <c r="F17" s="29" t="s">
        <v>41</v>
      </c>
      <c r="G17" s="30" t="s">
        <v>42</v>
      </c>
      <c r="H17" s="31" t="s">
        <v>43</v>
      </c>
      <c r="I17" s="32">
        <f>SUM(I13:I16)</f>
        <v>2853.3796126793281</v>
      </c>
    </row>
    <row r="18" spans="1:11" ht="15" x14ac:dyDescent="0.2">
      <c r="A18" s="159"/>
      <c r="B18" s="160"/>
      <c r="C18" s="58">
        <v>2.5000000000000001E-3</v>
      </c>
      <c r="D18" s="58">
        <v>0.85</v>
      </c>
      <c r="E18" s="33">
        <v>0.1</v>
      </c>
      <c r="F18" s="34">
        <v>0.03</v>
      </c>
      <c r="G18" s="35">
        <v>1</v>
      </c>
      <c r="H18" s="163" t="s">
        <v>44</v>
      </c>
      <c r="I18" s="143" t="s">
        <v>45</v>
      </c>
    </row>
    <row r="19" spans="1:11" ht="24" x14ac:dyDescent="0.2">
      <c r="A19" s="159"/>
      <c r="B19" s="160"/>
      <c r="C19" s="30" t="s">
        <v>37</v>
      </c>
      <c r="D19" s="36" t="s">
        <v>46</v>
      </c>
      <c r="E19" s="28" t="s">
        <v>47</v>
      </c>
      <c r="F19" s="31" t="s">
        <v>48</v>
      </c>
      <c r="G19" s="37" t="s">
        <v>49</v>
      </c>
      <c r="H19" s="163"/>
      <c r="I19" s="144"/>
    </row>
    <row r="20" spans="1:11" ht="18.75" x14ac:dyDescent="0.2">
      <c r="A20" s="159"/>
      <c r="B20" s="160"/>
      <c r="C20" s="76">
        <f>200</f>
        <v>200</v>
      </c>
      <c r="D20" s="77">
        <v>0.06</v>
      </c>
      <c r="E20" s="132">
        <v>0</v>
      </c>
      <c r="F20" s="59">
        <v>0.13</v>
      </c>
      <c r="G20" s="75">
        <v>10000</v>
      </c>
      <c r="H20" s="39">
        <f>I17/G20+B11+B11*F18</f>
        <v>3.7717616956167319</v>
      </c>
      <c r="I20" s="65">
        <f>(H20/(1-D20)+C18+E18+E20/G20+C20/G20+C22*D22+D18*G11)*(1+F20)*(1+E22+F22)</f>
        <v>4.833814363938397</v>
      </c>
    </row>
    <row r="21" spans="1:11" x14ac:dyDescent="0.2">
      <c r="A21" s="159"/>
      <c r="B21" s="160"/>
      <c r="C21" s="29" t="s">
        <v>50</v>
      </c>
      <c r="D21" s="29" t="s">
        <v>51</v>
      </c>
      <c r="E21" s="60" t="s">
        <v>52</v>
      </c>
      <c r="F21" s="60" t="s">
        <v>53</v>
      </c>
      <c r="G21" s="60" t="s">
        <v>54</v>
      </c>
      <c r="H21" s="40" t="s">
        <v>55</v>
      </c>
      <c r="I21" s="66" t="s">
        <v>56</v>
      </c>
    </row>
    <row r="22" spans="1:11" ht="18.75" x14ac:dyDescent="0.2">
      <c r="A22" s="161"/>
      <c r="B22" s="162"/>
      <c r="C22" s="41">
        <v>0</v>
      </c>
      <c r="D22" s="42">
        <v>0</v>
      </c>
      <c r="E22" s="61">
        <v>7.0000000000000001E-3</v>
      </c>
      <c r="F22" s="61">
        <v>5.0000000000000001E-3</v>
      </c>
      <c r="G22" s="62">
        <v>0.15</v>
      </c>
      <c r="H22" s="39">
        <f>(H20+C18+E18+E20/G20+C20/G20+C22*D22+D18*G11)*(1+F20)*(1+E22+F22)</f>
        <v>4.5585014402380049</v>
      </c>
      <c r="I22" s="65">
        <f>I20+(I20-H22)*G22</f>
        <v>4.8751113024934556</v>
      </c>
    </row>
    <row r="23" spans="1:11" ht="25.5" x14ac:dyDescent="0.2">
      <c r="A23" s="171" t="s">
        <v>161</v>
      </c>
      <c r="B23" s="171"/>
      <c r="C23" s="171"/>
      <c r="D23" s="171"/>
      <c r="E23" s="171"/>
      <c r="F23" s="171"/>
      <c r="G23" s="171"/>
      <c r="H23" s="171"/>
      <c r="I23" s="171"/>
      <c r="J23" s="138" t="s">
        <v>166</v>
      </c>
    </row>
    <row r="24" spans="1:11" ht="25.5" x14ac:dyDescent="0.2">
      <c r="A24" s="67"/>
      <c r="B24" s="67"/>
      <c r="C24" s="67"/>
      <c r="D24" s="67"/>
      <c r="E24" s="43"/>
      <c r="F24" s="3"/>
      <c r="G24" s="3"/>
      <c r="H24" s="3" t="s">
        <v>1</v>
      </c>
      <c r="I24" s="45" t="s">
        <v>157</v>
      </c>
    </row>
    <row r="25" spans="1:11" x14ac:dyDescent="0.2">
      <c r="A25" s="6" t="s">
        <v>3</v>
      </c>
      <c r="B25" s="179" t="s">
        <v>116</v>
      </c>
      <c r="C25" s="180"/>
      <c r="D25" s="180"/>
      <c r="E25" s="180"/>
      <c r="F25" s="181"/>
      <c r="G25" s="46" t="s">
        <v>4</v>
      </c>
      <c r="H25" s="182">
        <v>45845</v>
      </c>
      <c r="I25" s="183"/>
    </row>
    <row r="26" spans="1:11" x14ac:dyDescent="0.2">
      <c r="A26" s="6" t="s">
        <v>5</v>
      </c>
      <c r="B26" s="189" t="s">
        <v>158</v>
      </c>
      <c r="C26" s="190"/>
      <c r="D26" s="190"/>
      <c r="E26" s="190"/>
      <c r="F26" s="191"/>
      <c r="G26" s="6" t="s">
        <v>7</v>
      </c>
      <c r="H26" s="192" t="s">
        <v>159</v>
      </c>
      <c r="I26" s="192"/>
      <c r="J26" t="s">
        <v>163</v>
      </c>
    </row>
    <row r="27" spans="1:11" x14ac:dyDescent="0.2">
      <c r="A27" s="150" t="s">
        <v>9</v>
      </c>
      <c r="B27" s="151" t="s">
        <v>10</v>
      </c>
      <c r="C27" s="152" t="s">
        <v>11</v>
      </c>
      <c r="D27" s="152"/>
      <c r="E27" s="152"/>
      <c r="F27" s="152"/>
      <c r="G27" s="6" t="s">
        <v>12</v>
      </c>
      <c r="H27" s="6" t="s">
        <v>13</v>
      </c>
      <c r="I27" s="6" t="s">
        <v>14</v>
      </c>
    </row>
    <row r="28" spans="1:11" ht="15.75" x14ac:dyDescent="0.2">
      <c r="A28" s="150"/>
      <c r="B28" s="150"/>
      <c r="C28" s="152"/>
      <c r="D28" s="152"/>
      <c r="E28" s="152"/>
      <c r="F28" s="152"/>
      <c r="G28" s="6" t="s">
        <v>15</v>
      </c>
      <c r="H28" s="7" t="s">
        <v>16</v>
      </c>
      <c r="I28" s="7" t="s">
        <v>17</v>
      </c>
    </row>
    <row r="29" spans="1:11" ht="15.75" x14ac:dyDescent="0.2">
      <c r="A29" s="46">
        <v>1</v>
      </c>
      <c r="B29" s="47" t="s">
        <v>19</v>
      </c>
      <c r="C29" s="153" t="s">
        <v>164</v>
      </c>
      <c r="D29" s="154"/>
      <c r="E29" s="154"/>
      <c r="F29" s="155"/>
      <c r="G29" s="48">
        <f>0.158^2*41*0.7854*8.89/10*2*1.015*1.015</f>
        <v>1.4724914057660916</v>
      </c>
      <c r="H29" s="63">
        <f>(J29+1140)/1.13/1000+5.18</f>
        <v>76.985309734513294</v>
      </c>
      <c r="I29" s="11">
        <f>G29*H29</f>
        <v>113.36020695431145</v>
      </c>
      <c r="J29">
        <v>80000</v>
      </c>
    </row>
    <row r="30" spans="1:11" ht="15.75" x14ac:dyDescent="0.2">
      <c r="A30" s="46">
        <v>2</v>
      </c>
      <c r="B30" s="47" t="s">
        <v>21</v>
      </c>
      <c r="C30" s="153" t="s">
        <v>160</v>
      </c>
      <c r="D30" s="154"/>
      <c r="E30" s="154"/>
      <c r="F30" s="155"/>
      <c r="G30" s="48">
        <f>(2.25^2-1.16^2*0.85)*0.7854*1.48/10*2*1.015</f>
        <v>0.92468774129424003</v>
      </c>
      <c r="H30" s="64">
        <f>8.31+0.5</f>
        <v>8.81</v>
      </c>
      <c r="I30" s="11">
        <f>G30*H30</f>
        <v>8.1464990008022546</v>
      </c>
    </row>
    <row r="31" spans="1:11" ht="15.75" x14ac:dyDescent="0.2">
      <c r="A31" s="46">
        <v>3</v>
      </c>
      <c r="B31" s="46" t="s">
        <v>23</v>
      </c>
      <c r="C31" s="153" t="s">
        <v>83</v>
      </c>
      <c r="D31" s="154"/>
      <c r="E31" s="154"/>
      <c r="F31" s="155"/>
      <c r="G31" s="48">
        <f>(6.05^2-4.4^2*0.85)*0.7854*1.47/10</f>
        <v>2.3259899816999994</v>
      </c>
      <c r="H31" s="64">
        <f>10.55</f>
        <v>10.55</v>
      </c>
      <c r="I31" s="11">
        <f>G31*H31</f>
        <v>24.539194306934995</v>
      </c>
    </row>
    <row r="32" spans="1:11" ht="15.75" x14ac:dyDescent="0.2">
      <c r="A32" s="12" t="s">
        <v>25</v>
      </c>
      <c r="B32" s="13">
        <f>I32/100</f>
        <v>1.4604590026204869</v>
      </c>
      <c r="C32" s="156" t="s">
        <v>26</v>
      </c>
      <c r="D32" s="156"/>
      <c r="E32" s="156"/>
      <c r="F32" s="156"/>
      <c r="G32" s="14">
        <f>SUM(G29:G31)/100</f>
        <v>4.7231691287603308E-2</v>
      </c>
      <c r="H32" s="15" t="s">
        <v>27</v>
      </c>
      <c r="I32" s="16">
        <f>SUM(I29:I31)</f>
        <v>146.04590026204869</v>
      </c>
      <c r="J32" s="56">
        <f>B32*1.13/I43</f>
        <v>0.77016096900021314</v>
      </c>
      <c r="K32" s="57">
        <f>G32*G41</f>
        <v>472.31691287603309</v>
      </c>
    </row>
    <row r="33" spans="1:9" ht="36" x14ac:dyDescent="0.2">
      <c r="A33" s="17" t="s">
        <v>10</v>
      </c>
      <c r="B33" s="18" t="s">
        <v>28</v>
      </c>
      <c r="C33" s="17" t="s">
        <v>29</v>
      </c>
      <c r="D33" s="17" t="s">
        <v>30</v>
      </c>
      <c r="E33" s="17" t="s">
        <v>31</v>
      </c>
      <c r="F33" s="18" t="s">
        <v>32</v>
      </c>
      <c r="G33" s="18" t="s">
        <v>33</v>
      </c>
      <c r="H33" s="19" t="s">
        <v>34</v>
      </c>
      <c r="I33" s="17" t="s">
        <v>35</v>
      </c>
    </row>
    <row r="34" spans="1:9" ht="15.75" x14ac:dyDescent="0.2">
      <c r="A34" s="46" t="s">
        <v>19</v>
      </c>
      <c r="B34" s="68">
        <f>0.24*2</f>
        <v>0.48</v>
      </c>
      <c r="C34" s="20">
        <v>0</v>
      </c>
      <c r="D34" s="21">
        <v>10</v>
      </c>
      <c r="E34" s="69">
        <f>B34*D34*G41/1000+C34*D34*G39</f>
        <v>48</v>
      </c>
      <c r="F34" s="70">
        <v>1</v>
      </c>
      <c r="G34" s="71">
        <v>0</v>
      </c>
      <c r="H34" s="99">
        <f>F34*I29</f>
        <v>113.36020695431145</v>
      </c>
      <c r="I34" s="21">
        <f>E34+H34*G39</f>
        <v>161.36020695431145</v>
      </c>
    </row>
    <row r="35" spans="1:9" ht="15.75" x14ac:dyDescent="0.2">
      <c r="A35" s="46" t="s">
        <v>21</v>
      </c>
      <c r="B35" s="68">
        <f>1000/60/150*2</f>
        <v>0.22222222222222224</v>
      </c>
      <c r="C35" s="20">
        <v>0</v>
      </c>
      <c r="D35" s="21">
        <v>120</v>
      </c>
      <c r="E35" s="69">
        <f>B35*D35*G41/1000+C35*D35*G39</f>
        <v>266.66666666666669</v>
      </c>
      <c r="F35" s="70">
        <v>1.5</v>
      </c>
      <c r="G35" s="72">
        <v>2</v>
      </c>
      <c r="H35" s="99">
        <f>F35*(I30+I29)+G35*H30</f>
        <v>199.88005893267055</v>
      </c>
      <c r="I35" s="21">
        <f>E35+H35*G39</f>
        <v>466.54672559933726</v>
      </c>
    </row>
    <row r="36" spans="1:9" ht="15.75" x14ac:dyDescent="0.2">
      <c r="A36" s="46" t="s">
        <v>36</v>
      </c>
      <c r="B36" s="68">
        <f>1000/60/30</f>
        <v>0.55555555555555558</v>
      </c>
      <c r="C36" s="20">
        <v>0</v>
      </c>
      <c r="D36" s="21">
        <v>40</v>
      </c>
      <c r="E36" s="69">
        <f>B36*D36*G41/1000+C36*D36*G39</f>
        <v>222.22222222222223</v>
      </c>
      <c r="F36" s="70">
        <v>0.2</v>
      </c>
      <c r="G36" s="72">
        <v>0</v>
      </c>
      <c r="H36" s="99">
        <f>F36*(I30+I29)</f>
        <v>24.301341191022743</v>
      </c>
      <c r="I36" s="21">
        <f>E36+H36*G39</f>
        <v>246.52356341324497</v>
      </c>
    </row>
    <row r="37" spans="1:9" ht="15.75" x14ac:dyDescent="0.2">
      <c r="A37" s="46" t="s">
        <v>23</v>
      </c>
      <c r="B37" s="68">
        <f>1000/60/40</f>
        <v>0.41666666666666669</v>
      </c>
      <c r="C37" s="20">
        <v>0</v>
      </c>
      <c r="D37" s="21">
        <v>140</v>
      </c>
      <c r="E37" s="69">
        <f>B37*D37*G41/1000+C37*D37*G39</f>
        <v>583.33333333333337</v>
      </c>
      <c r="F37" s="70">
        <v>1</v>
      </c>
      <c r="G37" s="72">
        <v>10</v>
      </c>
      <c r="H37" s="99">
        <f>F37*I32+G37*H31</f>
        <v>251.54590026204869</v>
      </c>
      <c r="I37" s="21">
        <f>E37+H37*G39</f>
        <v>834.87923359538206</v>
      </c>
    </row>
    <row r="38" spans="1:9" ht="24" x14ac:dyDescent="0.2">
      <c r="A38" s="157" t="s">
        <v>37</v>
      </c>
      <c r="B38" s="158"/>
      <c r="C38" s="28" t="s">
        <v>38</v>
      </c>
      <c r="D38" s="28" t="s">
        <v>39</v>
      </c>
      <c r="E38" s="28" t="s">
        <v>40</v>
      </c>
      <c r="F38" s="29" t="s">
        <v>41</v>
      </c>
      <c r="G38" s="30" t="s">
        <v>42</v>
      </c>
      <c r="H38" s="31" t="s">
        <v>43</v>
      </c>
      <c r="I38" s="32">
        <f>SUM(I34:I37)</f>
        <v>1709.3097295622756</v>
      </c>
    </row>
    <row r="39" spans="1:9" ht="15" x14ac:dyDescent="0.2">
      <c r="A39" s="159"/>
      <c r="B39" s="160"/>
      <c r="C39" s="58">
        <v>2.5000000000000001E-3</v>
      </c>
      <c r="D39" s="58">
        <v>0.85</v>
      </c>
      <c r="E39" s="33">
        <v>1.2999999999999999E-2</v>
      </c>
      <c r="F39" s="34">
        <v>0.03</v>
      </c>
      <c r="G39" s="35">
        <v>1</v>
      </c>
      <c r="H39" s="163" t="s">
        <v>44</v>
      </c>
      <c r="I39" s="143" t="s">
        <v>45</v>
      </c>
    </row>
    <row r="40" spans="1:9" ht="24" x14ac:dyDescent="0.2">
      <c r="A40" s="159"/>
      <c r="B40" s="160"/>
      <c r="C40" s="30" t="s">
        <v>37</v>
      </c>
      <c r="D40" s="36" t="s">
        <v>46</v>
      </c>
      <c r="E40" s="28" t="s">
        <v>47</v>
      </c>
      <c r="F40" s="31" t="s">
        <v>48</v>
      </c>
      <c r="G40" s="37" t="s">
        <v>49</v>
      </c>
      <c r="H40" s="163"/>
      <c r="I40" s="144"/>
    </row>
    <row r="41" spans="1:9" ht="18.75" x14ac:dyDescent="0.2">
      <c r="A41" s="159"/>
      <c r="B41" s="160"/>
      <c r="C41" s="76">
        <f>200</f>
        <v>200</v>
      </c>
      <c r="D41" s="77">
        <v>0.06</v>
      </c>
      <c r="E41" s="132">
        <v>0</v>
      </c>
      <c r="F41" s="59">
        <v>0.13</v>
      </c>
      <c r="G41" s="75">
        <v>10000</v>
      </c>
      <c r="H41" s="39">
        <f>I38/G41+B32+B32*F39</f>
        <v>1.675203745655329</v>
      </c>
      <c r="I41" s="65">
        <f>(H41/(1-D41)+C39+E39+E41/G41+C41/G41+C43*D43+D39*G32)*(1+F41)*(1+E43+F43)</f>
        <v>2.1244812751274464</v>
      </c>
    </row>
    <row r="42" spans="1:9" x14ac:dyDescent="0.2">
      <c r="A42" s="159"/>
      <c r="B42" s="160"/>
      <c r="C42" s="29" t="s">
        <v>50</v>
      </c>
      <c r="D42" s="29" t="s">
        <v>51</v>
      </c>
      <c r="E42" s="60" t="s">
        <v>52</v>
      </c>
      <c r="F42" s="60" t="s">
        <v>53</v>
      </c>
      <c r="G42" s="60" t="s">
        <v>54</v>
      </c>
      <c r="H42" s="40" t="s">
        <v>55</v>
      </c>
      <c r="I42" s="66" t="s">
        <v>56</v>
      </c>
    </row>
    <row r="43" spans="1:9" ht="18.75" x14ac:dyDescent="0.2">
      <c r="A43" s="161"/>
      <c r="B43" s="162"/>
      <c r="C43" s="41">
        <v>0</v>
      </c>
      <c r="D43" s="42">
        <v>0</v>
      </c>
      <c r="E43" s="61">
        <v>7.0000000000000001E-3</v>
      </c>
      <c r="F43" s="61">
        <v>5.0000000000000001E-3</v>
      </c>
      <c r="G43" s="62">
        <v>0.15</v>
      </c>
      <c r="H43" s="39">
        <f>(H41+C39+E39+E41/G41+C41/G41+C43*D43+D39*G32)*(1+F41)*(1+E43+F43)</f>
        <v>2.002202807337131</v>
      </c>
      <c r="I43" s="65">
        <f>I41+(I41-H43)*G43</f>
        <v>2.1428230452959935</v>
      </c>
    </row>
  </sheetData>
  <mergeCells count="32">
    <mergeCell ref="C31:F31"/>
    <mergeCell ref="C32:F32"/>
    <mergeCell ref="A38:B43"/>
    <mergeCell ref="H39:H40"/>
    <mergeCell ref="I39:I40"/>
    <mergeCell ref="A27:A28"/>
    <mergeCell ref="B27:B28"/>
    <mergeCell ref="C27:F28"/>
    <mergeCell ref="C29:F29"/>
    <mergeCell ref="C30:F30"/>
    <mergeCell ref="A23:I23"/>
    <mergeCell ref="B25:F25"/>
    <mergeCell ref="H25:I25"/>
    <mergeCell ref="B26:F26"/>
    <mergeCell ref="H26:I26"/>
    <mergeCell ref="J1:K2"/>
    <mergeCell ref="C7:F7"/>
    <mergeCell ref="C8:F8"/>
    <mergeCell ref="C9:F9"/>
    <mergeCell ref="C10:F10"/>
    <mergeCell ref="A17:B22"/>
    <mergeCell ref="A1:I1"/>
    <mergeCell ref="B3:F3"/>
    <mergeCell ref="H3:I3"/>
    <mergeCell ref="B4:F4"/>
    <mergeCell ref="H4:I4"/>
    <mergeCell ref="A5:A6"/>
    <mergeCell ref="B5:B6"/>
    <mergeCell ref="C5:F6"/>
    <mergeCell ref="H18:H19"/>
    <mergeCell ref="I18:I19"/>
    <mergeCell ref="C11:F11"/>
  </mergeCells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534C-9F0B-4824-A81B-3A5C274B4C2E}">
  <dimension ref="A1:X22"/>
  <sheetViews>
    <sheetView zoomScale="90" zoomScaleNormal="90" workbookViewId="0">
      <selection activeCell="H7" sqref="H7"/>
    </sheetView>
  </sheetViews>
  <sheetFormatPr defaultRowHeight="14.25" x14ac:dyDescent="0.2"/>
  <cols>
    <col min="1" max="1" width="8.5" style="85" bestFit="1" customWidth="1"/>
    <col min="2" max="2" width="10.5" style="85" bestFit="1" customWidth="1"/>
    <col min="3" max="3" width="11.75" style="85" bestFit="1" customWidth="1"/>
    <col min="4" max="4" width="13.5" style="85" customWidth="1"/>
    <col min="5" max="5" width="11.375" style="85" customWidth="1"/>
    <col min="6" max="6" width="10.25" style="85" bestFit="1" customWidth="1"/>
    <col min="7" max="7" width="11.625" style="85" bestFit="1" customWidth="1"/>
    <col min="8" max="8" width="18" style="85" bestFit="1" customWidth="1"/>
    <col min="9" max="9" width="17.5" style="85" bestFit="1" customWidth="1"/>
    <col min="10" max="21" width="9" style="85"/>
    <col min="22" max="22" width="12.625" style="85" customWidth="1"/>
    <col min="23" max="256" width="9" style="85"/>
    <col min="257" max="257" width="8.5" style="85" bestFit="1" customWidth="1"/>
    <col min="258" max="258" width="10.5" style="85" bestFit="1" customWidth="1"/>
    <col min="259" max="259" width="11.75" style="85" bestFit="1" customWidth="1"/>
    <col min="260" max="260" width="13.5" style="85" customWidth="1"/>
    <col min="261" max="261" width="11.375" style="85" customWidth="1"/>
    <col min="262" max="262" width="10.25" style="85" bestFit="1" customWidth="1"/>
    <col min="263" max="263" width="11.625" style="85" bestFit="1" customWidth="1"/>
    <col min="264" max="264" width="18" style="85" bestFit="1" customWidth="1"/>
    <col min="265" max="265" width="17.5" style="85" bestFit="1" customWidth="1"/>
    <col min="266" max="512" width="9" style="85"/>
    <col min="513" max="513" width="8.5" style="85" bestFit="1" customWidth="1"/>
    <col min="514" max="514" width="10.5" style="85" bestFit="1" customWidth="1"/>
    <col min="515" max="515" width="11.75" style="85" bestFit="1" customWidth="1"/>
    <col min="516" max="516" width="13.5" style="85" customWidth="1"/>
    <col min="517" max="517" width="11.375" style="85" customWidth="1"/>
    <col min="518" max="518" width="10.25" style="85" bestFit="1" customWidth="1"/>
    <col min="519" max="519" width="11.625" style="85" bestFit="1" customWidth="1"/>
    <col min="520" max="520" width="18" style="85" bestFit="1" customWidth="1"/>
    <col min="521" max="521" width="17.5" style="85" bestFit="1" customWidth="1"/>
    <col min="522" max="768" width="9" style="85"/>
    <col min="769" max="769" width="8.5" style="85" bestFit="1" customWidth="1"/>
    <col min="770" max="770" width="10.5" style="85" bestFit="1" customWidth="1"/>
    <col min="771" max="771" width="11.75" style="85" bestFit="1" customWidth="1"/>
    <col min="772" max="772" width="13.5" style="85" customWidth="1"/>
    <col min="773" max="773" width="11.375" style="85" customWidth="1"/>
    <col min="774" max="774" width="10.25" style="85" bestFit="1" customWidth="1"/>
    <col min="775" max="775" width="11.625" style="85" bestFit="1" customWidth="1"/>
    <col min="776" max="776" width="18" style="85" bestFit="1" customWidth="1"/>
    <col min="777" max="777" width="17.5" style="85" bestFit="1" customWidth="1"/>
    <col min="778" max="1024" width="9" style="85"/>
    <col min="1025" max="1025" width="8.5" style="85" bestFit="1" customWidth="1"/>
    <col min="1026" max="1026" width="10.5" style="85" bestFit="1" customWidth="1"/>
    <col min="1027" max="1027" width="11.75" style="85" bestFit="1" customWidth="1"/>
    <col min="1028" max="1028" width="13.5" style="85" customWidth="1"/>
    <col min="1029" max="1029" width="11.375" style="85" customWidth="1"/>
    <col min="1030" max="1030" width="10.25" style="85" bestFit="1" customWidth="1"/>
    <col min="1031" max="1031" width="11.625" style="85" bestFit="1" customWidth="1"/>
    <col min="1032" max="1032" width="18" style="85" bestFit="1" customWidth="1"/>
    <col min="1033" max="1033" width="17.5" style="85" bestFit="1" customWidth="1"/>
    <col min="1034" max="1280" width="9" style="85"/>
    <col min="1281" max="1281" width="8.5" style="85" bestFit="1" customWidth="1"/>
    <col min="1282" max="1282" width="10.5" style="85" bestFit="1" customWidth="1"/>
    <col min="1283" max="1283" width="11.75" style="85" bestFit="1" customWidth="1"/>
    <col min="1284" max="1284" width="13.5" style="85" customWidth="1"/>
    <col min="1285" max="1285" width="11.375" style="85" customWidth="1"/>
    <col min="1286" max="1286" width="10.25" style="85" bestFit="1" customWidth="1"/>
    <col min="1287" max="1287" width="11.625" style="85" bestFit="1" customWidth="1"/>
    <col min="1288" max="1288" width="18" style="85" bestFit="1" customWidth="1"/>
    <col min="1289" max="1289" width="17.5" style="85" bestFit="1" customWidth="1"/>
    <col min="1290" max="1536" width="9" style="85"/>
    <col min="1537" max="1537" width="8.5" style="85" bestFit="1" customWidth="1"/>
    <col min="1538" max="1538" width="10.5" style="85" bestFit="1" customWidth="1"/>
    <col min="1539" max="1539" width="11.75" style="85" bestFit="1" customWidth="1"/>
    <col min="1540" max="1540" width="13.5" style="85" customWidth="1"/>
    <col min="1541" max="1541" width="11.375" style="85" customWidth="1"/>
    <col min="1542" max="1542" width="10.25" style="85" bestFit="1" customWidth="1"/>
    <col min="1543" max="1543" width="11.625" style="85" bestFit="1" customWidth="1"/>
    <col min="1544" max="1544" width="18" style="85" bestFit="1" customWidth="1"/>
    <col min="1545" max="1545" width="17.5" style="85" bestFit="1" customWidth="1"/>
    <col min="1546" max="1792" width="9" style="85"/>
    <col min="1793" max="1793" width="8.5" style="85" bestFit="1" customWidth="1"/>
    <col min="1794" max="1794" width="10.5" style="85" bestFit="1" customWidth="1"/>
    <col min="1795" max="1795" width="11.75" style="85" bestFit="1" customWidth="1"/>
    <col min="1796" max="1796" width="13.5" style="85" customWidth="1"/>
    <col min="1797" max="1797" width="11.375" style="85" customWidth="1"/>
    <col min="1798" max="1798" width="10.25" style="85" bestFit="1" customWidth="1"/>
    <col min="1799" max="1799" width="11.625" style="85" bestFit="1" customWidth="1"/>
    <col min="1800" max="1800" width="18" style="85" bestFit="1" customWidth="1"/>
    <col min="1801" max="1801" width="17.5" style="85" bestFit="1" customWidth="1"/>
    <col min="1802" max="2048" width="9" style="85"/>
    <col min="2049" max="2049" width="8.5" style="85" bestFit="1" customWidth="1"/>
    <col min="2050" max="2050" width="10.5" style="85" bestFit="1" customWidth="1"/>
    <col min="2051" max="2051" width="11.75" style="85" bestFit="1" customWidth="1"/>
    <col min="2052" max="2052" width="13.5" style="85" customWidth="1"/>
    <col min="2053" max="2053" width="11.375" style="85" customWidth="1"/>
    <col min="2054" max="2054" width="10.25" style="85" bestFit="1" customWidth="1"/>
    <col min="2055" max="2055" width="11.625" style="85" bestFit="1" customWidth="1"/>
    <col min="2056" max="2056" width="18" style="85" bestFit="1" customWidth="1"/>
    <col min="2057" max="2057" width="17.5" style="85" bestFit="1" customWidth="1"/>
    <col min="2058" max="2304" width="9" style="85"/>
    <col min="2305" max="2305" width="8.5" style="85" bestFit="1" customWidth="1"/>
    <col min="2306" max="2306" width="10.5" style="85" bestFit="1" customWidth="1"/>
    <col min="2307" max="2307" width="11.75" style="85" bestFit="1" customWidth="1"/>
    <col min="2308" max="2308" width="13.5" style="85" customWidth="1"/>
    <col min="2309" max="2309" width="11.375" style="85" customWidth="1"/>
    <col min="2310" max="2310" width="10.25" style="85" bestFit="1" customWidth="1"/>
    <col min="2311" max="2311" width="11.625" style="85" bestFit="1" customWidth="1"/>
    <col min="2312" max="2312" width="18" style="85" bestFit="1" customWidth="1"/>
    <col min="2313" max="2313" width="17.5" style="85" bestFit="1" customWidth="1"/>
    <col min="2314" max="2560" width="9" style="85"/>
    <col min="2561" max="2561" width="8.5" style="85" bestFit="1" customWidth="1"/>
    <col min="2562" max="2562" width="10.5" style="85" bestFit="1" customWidth="1"/>
    <col min="2563" max="2563" width="11.75" style="85" bestFit="1" customWidth="1"/>
    <col min="2564" max="2564" width="13.5" style="85" customWidth="1"/>
    <col min="2565" max="2565" width="11.375" style="85" customWidth="1"/>
    <col min="2566" max="2566" width="10.25" style="85" bestFit="1" customWidth="1"/>
    <col min="2567" max="2567" width="11.625" style="85" bestFit="1" customWidth="1"/>
    <col min="2568" max="2568" width="18" style="85" bestFit="1" customWidth="1"/>
    <col min="2569" max="2569" width="17.5" style="85" bestFit="1" customWidth="1"/>
    <col min="2570" max="2816" width="9" style="85"/>
    <col min="2817" max="2817" width="8.5" style="85" bestFit="1" customWidth="1"/>
    <col min="2818" max="2818" width="10.5" style="85" bestFit="1" customWidth="1"/>
    <col min="2819" max="2819" width="11.75" style="85" bestFit="1" customWidth="1"/>
    <col min="2820" max="2820" width="13.5" style="85" customWidth="1"/>
    <col min="2821" max="2821" width="11.375" style="85" customWidth="1"/>
    <col min="2822" max="2822" width="10.25" style="85" bestFit="1" customWidth="1"/>
    <col min="2823" max="2823" width="11.625" style="85" bestFit="1" customWidth="1"/>
    <col min="2824" max="2824" width="18" style="85" bestFit="1" customWidth="1"/>
    <col min="2825" max="2825" width="17.5" style="85" bestFit="1" customWidth="1"/>
    <col min="2826" max="3072" width="9" style="85"/>
    <col min="3073" max="3073" width="8.5" style="85" bestFit="1" customWidth="1"/>
    <col min="3074" max="3074" width="10.5" style="85" bestFit="1" customWidth="1"/>
    <col min="3075" max="3075" width="11.75" style="85" bestFit="1" customWidth="1"/>
    <col min="3076" max="3076" width="13.5" style="85" customWidth="1"/>
    <col min="3077" max="3077" width="11.375" style="85" customWidth="1"/>
    <col min="3078" max="3078" width="10.25" style="85" bestFit="1" customWidth="1"/>
    <col min="3079" max="3079" width="11.625" style="85" bestFit="1" customWidth="1"/>
    <col min="3080" max="3080" width="18" style="85" bestFit="1" customWidth="1"/>
    <col min="3081" max="3081" width="17.5" style="85" bestFit="1" customWidth="1"/>
    <col min="3082" max="3328" width="9" style="85"/>
    <col min="3329" max="3329" width="8.5" style="85" bestFit="1" customWidth="1"/>
    <col min="3330" max="3330" width="10.5" style="85" bestFit="1" customWidth="1"/>
    <col min="3331" max="3331" width="11.75" style="85" bestFit="1" customWidth="1"/>
    <col min="3332" max="3332" width="13.5" style="85" customWidth="1"/>
    <col min="3333" max="3333" width="11.375" style="85" customWidth="1"/>
    <col min="3334" max="3334" width="10.25" style="85" bestFit="1" customWidth="1"/>
    <col min="3335" max="3335" width="11.625" style="85" bestFit="1" customWidth="1"/>
    <col min="3336" max="3336" width="18" style="85" bestFit="1" customWidth="1"/>
    <col min="3337" max="3337" width="17.5" style="85" bestFit="1" customWidth="1"/>
    <col min="3338" max="3584" width="9" style="85"/>
    <col min="3585" max="3585" width="8.5" style="85" bestFit="1" customWidth="1"/>
    <col min="3586" max="3586" width="10.5" style="85" bestFit="1" customWidth="1"/>
    <col min="3587" max="3587" width="11.75" style="85" bestFit="1" customWidth="1"/>
    <col min="3588" max="3588" width="13.5" style="85" customWidth="1"/>
    <col min="3589" max="3589" width="11.375" style="85" customWidth="1"/>
    <col min="3590" max="3590" width="10.25" style="85" bestFit="1" customWidth="1"/>
    <col min="3591" max="3591" width="11.625" style="85" bestFit="1" customWidth="1"/>
    <col min="3592" max="3592" width="18" style="85" bestFit="1" customWidth="1"/>
    <col min="3593" max="3593" width="17.5" style="85" bestFit="1" customWidth="1"/>
    <col min="3594" max="3840" width="9" style="85"/>
    <col min="3841" max="3841" width="8.5" style="85" bestFit="1" customWidth="1"/>
    <col min="3842" max="3842" width="10.5" style="85" bestFit="1" customWidth="1"/>
    <col min="3843" max="3843" width="11.75" style="85" bestFit="1" customWidth="1"/>
    <col min="3844" max="3844" width="13.5" style="85" customWidth="1"/>
    <col min="3845" max="3845" width="11.375" style="85" customWidth="1"/>
    <col min="3846" max="3846" width="10.25" style="85" bestFit="1" customWidth="1"/>
    <col min="3847" max="3847" width="11.625" style="85" bestFit="1" customWidth="1"/>
    <col min="3848" max="3848" width="18" style="85" bestFit="1" customWidth="1"/>
    <col min="3849" max="3849" width="17.5" style="85" bestFit="1" customWidth="1"/>
    <col min="3850" max="4096" width="9" style="85"/>
    <col min="4097" max="4097" width="8.5" style="85" bestFit="1" customWidth="1"/>
    <col min="4098" max="4098" width="10.5" style="85" bestFit="1" customWidth="1"/>
    <col min="4099" max="4099" width="11.75" style="85" bestFit="1" customWidth="1"/>
    <col min="4100" max="4100" width="13.5" style="85" customWidth="1"/>
    <col min="4101" max="4101" width="11.375" style="85" customWidth="1"/>
    <col min="4102" max="4102" width="10.25" style="85" bestFit="1" customWidth="1"/>
    <col min="4103" max="4103" width="11.625" style="85" bestFit="1" customWidth="1"/>
    <col min="4104" max="4104" width="18" style="85" bestFit="1" customWidth="1"/>
    <col min="4105" max="4105" width="17.5" style="85" bestFit="1" customWidth="1"/>
    <col min="4106" max="4352" width="9" style="85"/>
    <col min="4353" max="4353" width="8.5" style="85" bestFit="1" customWidth="1"/>
    <col min="4354" max="4354" width="10.5" style="85" bestFit="1" customWidth="1"/>
    <col min="4355" max="4355" width="11.75" style="85" bestFit="1" customWidth="1"/>
    <col min="4356" max="4356" width="13.5" style="85" customWidth="1"/>
    <col min="4357" max="4357" width="11.375" style="85" customWidth="1"/>
    <col min="4358" max="4358" width="10.25" style="85" bestFit="1" customWidth="1"/>
    <col min="4359" max="4359" width="11.625" style="85" bestFit="1" customWidth="1"/>
    <col min="4360" max="4360" width="18" style="85" bestFit="1" customWidth="1"/>
    <col min="4361" max="4361" width="17.5" style="85" bestFit="1" customWidth="1"/>
    <col min="4362" max="4608" width="9" style="85"/>
    <col min="4609" max="4609" width="8.5" style="85" bestFit="1" customWidth="1"/>
    <col min="4610" max="4610" width="10.5" style="85" bestFit="1" customWidth="1"/>
    <col min="4611" max="4611" width="11.75" style="85" bestFit="1" customWidth="1"/>
    <col min="4612" max="4612" width="13.5" style="85" customWidth="1"/>
    <col min="4613" max="4613" width="11.375" style="85" customWidth="1"/>
    <col min="4614" max="4614" width="10.25" style="85" bestFit="1" customWidth="1"/>
    <col min="4615" max="4615" width="11.625" style="85" bestFit="1" customWidth="1"/>
    <col min="4616" max="4616" width="18" style="85" bestFit="1" customWidth="1"/>
    <col min="4617" max="4617" width="17.5" style="85" bestFit="1" customWidth="1"/>
    <col min="4618" max="4864" width="9" style="85"/>
    <col min="4865" max="4865" width="8.5" style="85" bestFit="1" customWidth="1"/>
    <col min="4866" max="4866" width="10.5" style="85" bestFit="1" customWidth="1"/>
    <col min="4867" max="4867" width="11.75" style="85" bestFit="1" customWidth="1"/>
    <col min="4868" max="4868" width="13.5" style="85" customWidth="1"/>
    <col min="4869" max="4869" width="11.375" style="85" customWidth="1"/>
    <col min="4870" max="4870" width="10.25" style="85" bestFit="1" customWidth="1"/>
    <col min="4871" max="4871" width="11.625" style="85" bestFit="1" customWidth="1"/>
    <col min="4872" max="4872" width="18" style="85" bestFit="1" customWidth="1"/>
    <col min="4873" max="4873" width="17.5" style="85" bestFit="1" customWidth="1"/>
    <col min="4874" max="5120" width="9" style="85"/>
    <col min="5121" max="5121" width="8.5" style="85" bestFit="1" customWidth="1"/>
    <col min="5122" max="5122" width="10.5" style="85" bestFit="1" customWidth="1"/>
    <col min="5123" max="5123" width="11.75" style="85" bestFit="1" customWidth="1"/>
    <col min="5124" max="5124" width="13.5" style="85" customWidth="1"/>
    <col min="5125" max="5125" width="11.375" style="85" customWidth="1"/>
    <col min="5126" max="5126" width="10.25" style="85" bestFit="1" customWidth="1"/>
    <col min="5127" max="5127" width="11.625" style="85" bestFit="1" customWidth="1"/>
    <col min="5128" max="5128" width="18" style="85" bestFit="1" customWidth="1"/>
    <col min="5129" max="5129" width="17.5" style="85" bestFit="1" customWidth="1"/>
    <col min="5130" max="5376" width="9" style="85"/>
    <col min="5377" max="5377" width="8.5" style="85" bestFit="1" customWidth="1"/>
    <col min="5378" max="5378" width="10.5" style="85" bestFit="1" customWidth="1"/>
    <col min="5379" max="5379" width="11.75" style="85" bestFit="1" customWidth="1"/>
    <col min="5380" max="5380" width="13.5" style="85" customWidth="1"/>
    <col min="5381" max="5381" width="11.375" style="85" customWidth="1"/>
    <col min="5382" max="5382" width="10.25" style="85" bestFit="1" customWidth="1"/>
    <col min="5383" max="5383" width="11.625" style="85" bestFit="1" customWidth="1"/>
    <col min="5384" max="5384" width="18" style="85" bestFit="1" customWidth="1"/>
    <col min="5385" max="5385" width="17.5" style="85" bestFit="1" customWidth="1"/>
    <col min="5386" max="5632" width="9" style="85"/>
    <col min="5633" max="5633" width="8.5" style="85" bestFit="1" customWidth="1"/>
    <col min="5634" max="5634" width="10.5" style="85" bestFit="1" customWidth="1"/>
    <col min="5635" max="5635" width="11.75" style="85" bestFit="1" customWidth="1"/>
    <col min="5636" max="5636" width="13.5" style="85" customWidth="1"/>
    <col min="5637" max="5637" width="11.375" style="85" customWidth="1"/>
    <col min="5638" max="5638" width="10.25" style="85" bestFit="1" customWidth="1"/>
    <col min="5639" max="5639" width="11.625" style="85" bestFit="1" customWidth="1"/>
    <col min="5640" max="5640" width="18" style="85" bestFit="1" customWidth="1"/>
    <col min="5641" max="5641" width="17.5" style="85" bestFit="1" customWidth="1"/>
    <col min="5642" max="5888" width="9" style="85"/>
    <col min="5889" max="5889" width="8.5" style="85" bestFit="1" customWidth="1"/>
    <col min="5890" max="5890" width="10.5" style="85" bestFit="1" customWidth="1"/>
    <col min="5891" max="5891" width="11.75" style="85" bestFit="1" customWidth="1"/>
    <col min="5892" max="5892" width="13.5" style="85" customWidth="1"/>
    <col min="5893" max="5893" width="11.375" style="85" customWidth="1"/>
    <col min="5894" max="5894" width="10.25" style="85" bestFit="1" customWidth="1"/>
    <col min="5895" max="5895" width="11.625" style="85" bestFit="1" customWidth="1"/>
    <col min="5896" max="5896" width="18" style="85" bestFit="1" customWidth="1"/>
    <col min="5897" max="5897" width="17.5" style="85" bestFit="1" customWidth="1"/>
    <col min="5898" max="6144" width="9" style="85"/>
    <col min="6145" max="6145" width="8.5" style="85" bestFit="1" customWidth="1"/>
    <col min="6146" max="6146" width="10.5" style="85" bestFit="1" customWidth="1"/>
    <col min="6147" max="6147" width="11.75" style="85" bestFit="1" customWidth="1"/>
    <col min="6148" max="6148" width="13.5" style="85" customWidth="1"/>
    <col min="6149" max="6149" width="11.375" style="85" customWidth="1"/>
    <col min="6150" max="6150" width="10.25" style="85" bestFit="1" customWidth="1"/>
    <col min="6151" max="6151" width="11.625" style="85" bestFit="1" customWidth="1"/>
    <col min="6152" max="6152" width="18" style="85" bestFit="1" customWidth="1"/>
    <col min="6153" max="6153" width="17.5" style="85" bestFit="1" customWidth="1"/>
    <col min="6154" max="6400" width="9" style="85"/>
    <col min="6401" max="6401" width="8.5" style="85" bestFit="1" customWidth="1"/>
    <col min="6402" max="6402" width="10.5" style="85" bestFit="1" customWidth="1"/>
    <col min="6403" max="6403" width="11.75" style="85" bestFit="1" customWidth="1"/>
    <col min="6404" max="6404" width="13.5" style="85" customWidth="1"/>
    <col min="6405" max="6405" width="11.375" style="85" customWidth="1"/>
    <col min="6406" max="6406" width="10.25" style="85" bestFit="1" customWidth="1"/>
    <col min="6407" max="6407" width="11.625" style="85" bestFit="1" customWidth="1"/>
    <col min="6408" max="6408" width="18" style="85" bestFit="1" customWidth="1"/>
    <col min="6409" max="6409" width="17.5" style="85" bestFit="1" customWidth="1"/>
    <col min="6410" max="6656" width="9" style="85"/>
    <col min="6657" max="6657" width="8.5" style="85" bestFit="1" customWidth="1"/>
    <col min="6658" max="6658" width="10.5" style="85" bestFit="1" customWidth="1"/>
    <col min="6659" max="6659" width="11.75" style="85" bestFit="1" customWidth="1"/>
    <col min="6660" max="6660" width="13.5" style="85" customWidth="1"/>
    <col min="6661" max="6661" width="11.375" style="85" customWidth="1"/>
    <col min="6662" max="6662" width="10.25" style="85" bestFit="1" customWidth="1"/>
    <col min="6663" max="6663" width="11.625" style="85" bestFit="1" customWidth="1"/>
    <col min="6664" max="6664" width="18" style="85" bestFit="1" customWidth="1"/>
    <col min="6665" max="6665" width="17.5" style="85" bestFit="1" customWidth="1"/>
    <col min="6666" max="6912" width="9" style="85"/>
    <col min="6913" max="6913" width="8.5" style="85" bestFit="1" customWidth="1"/>
    <col min="6914" max="6914" width="10.5" style="85" bestFit="1" customWidth="1"/>
    <col min="6915" max="6915" width="11.75" style="85" bestFit="1" customWidth="1"/>
    <col min="6916" max="6916" width="13.5" style="85" customWidth="1"/>
    <col min="6917" max="6917" width="11.375" style="85" customWidth="1"/>
    <col min="6918" max="6918" width="10.25" style="85" bestFit="1" customWidth="1"/>
    <col min="6919" max="6919" width="11.625" style="85" bestFit="1" customWidth="1"/>
    <col min="6920" max="6920" width="18" style="85" bestFit="1" customWidth="1"/>
    <col min="6921" max="6921" width="17.5" style="85" bestFit="1" customWidth="1"/>
    <col min="6922" max="7168" width="9" style="85"/>
    <col min="7169" max="7169" width="8.5" style="85" bestFit="1" customWidth="1"/>
    <col min="7170" max="7170" width="10.5" style="85" bestFit="1" customWidth="1"/>
    <col min="7171" max="7171" width="11.75" style="85" bestFit="1" customWidth="1"/>
    <col min="7172" max="7172" width="13.5" style="85" customWidth="1"/>
    <col min="7173" max="7173" width="11.375" style="85" customWidth="1"/>
    <col min="7174" max="7174" width="10.25" style="85" bestFit="1" customWidth="1"/>
    <col min="7175" max="7175" width="11.625" style="85" bestFit="1" customWidth="1"/>
    <col min="7176" max="7176" width="18" style="85" bestFit="1" customWidth="1"/>
    <col min="7177" max="7177" width="17.5" style="85" bestFit="1" customWidth="1"/>
    <col min="7178" max="7424" width="9" style="85"/>
    <col min="7425" max="7425" width="8.5" style="85" bestFit="1" customWidth="1"/>
    <col min="7426" max="7426" width="10.5" style="85" bestFit="1" customWidth="1"/>
    <col min="7427" max="7427" width="11.75" style="85" bestFit="1" customWidth="1"/>
    <col min="7428" max="7428" width="13.5" style="85" customWidth="1"/>
    <col min="7429" max="7429" width="11.375" style="85" customWidth="1"/>
    <col min="7430" max="7430" width="10.25" style="85" bestFit="1" customWidth="1"/>
    <col min="7431" max="7431" width="11.625" style="85" bestFit="1" customWidth="1"/>
    <col min="7432" max="7432" width="18" style="85" bestFit="1" customWidth="1"/>
    <col min="7433" max="7433" width="17.5" style="85" bestFit="1" customWidth="1"/>
    <col min="7434" max="7680" width="9" style="85"/>
    <col min="7681" max="7681" width="8.5" style="85" bestFit="1" customWidth="1"/>
    <col min="7682" max="7682" width="10.5" style="85" bestFit="1" customWidth="1"/>
    <col min="7683" max="7683" width="11.75" style="85" bestFit="1" customWidth="1"/>
    <col min="7684" max="7684" width="13.5" style="85" customWidth="1"/>
    <col min="7685" max="7685" width="11.375" style="85" customWidth="1"/>
    <col min="7686" max="7686" width="10.25" style="85" bestFit="1" customWidth="1"/>
    <col min="7687" max="7687" width="11.625" style="85" bestFit="1" customWidth="1"/>
    <col min="7688" max="7688" width="18" style="85" bestFit="1" customWidth="1"/>
    <col min="7689" max="7689" width="17.5" style="85" bestFit="1" customWidth="1"/>
    <col min="7690" max="7936" width="9" style="85"/>
    <col min="7937" max="7937" width="8.5" style="85" bestFit="1" customWidth="1"/>
    <col min="7938" max="7938" width="10.5" style="85" bestFit="1" customWidth="1"/>
    <col min="7939" max="7939" width="11.75" style="85" bestFit="1" customWidth="1"/>
    <col min="7940" max="7940" width="13.5" style="85" customWidth="1"/>
    <col min="7941" max="7941" width="11.375" style="85" customWidth="1"/>
    <col min="7942" max="7942" width="10.25" style="85" bestFit="1" customWidth="1"/>
    <col min="7943" max="7943" width="11.625" style="85" bestFit="1" customWidth="1"/>
    <col min="7944" max="7944" width="18" style="85" bestFit="1" customWidth="1"/>
    <col min="7945" max="7945" width="17.5" style="85" bestFit="1" customWidth="1"/>
    <col min="7946" max="8192" width="9" style="85"/>
    <col min="8193" max="8193" width="8.5" style="85" bestFit="1" customWidth="1"/>
    <col min="8194" max="8194" width="10.5" style="85" bestFit="1" customWidth="1"/>
    <col min="8195" max="8195" width="11.75" style="85" bestFit="1" customWidth="1"/>
    <col min="8196" max="8196" width="13.5" style="85" customWidth="1"/>
    <col min="8197" max="8197" width="11.375" style="85" customWidth="1"/>
    <col min="8198" max="8198" width="10.25" style="85" bestFit="1" customWidth="1"/>
    <col min="8199" max="8199" width="11.625" style="85" bestFit="1" customWidth="1"/>
    <col min="8200" max="8200" width="18" style="85" bestFit="1" customWidth="1"/>
    <col min="8201" max="8201" width="17.5" style="85" bestFit="1" customWidth="1"/>
    <col min="8202" max="8448" width="9" style="85"/>
    <col min="8449" max="8449" width="8.5" style="85" bestFit="1" customWidth="1"/>
    <col min="8450" max="8450" width="10.5" style="85" bestFit="1" customWidth="1"/>
    <col min="8451" max="8451" width="11.75" style="85" bestFit="1" customWidth="1"/>
    <col min="8452" max="8452" width="13.5" style="85" customWidth="1"/>
    <col min="8453" max="8453" width="11.375" style="85" customWidth="1"/>
    <col min="8454" max="8454" width="10.25" style="85" bestFit="1" customWidth="1"/>
    <col min="8455" max="8455" width="11.625" style="85" bestFit="1" customWidth="1"/>
    <col min="8456" max="8456" width="18" style="85" bestFit="1" customWidth="1"/>
    <col min="8457" max="8457" width="17.5" style="85" bestFit="1" customWidth="1"/>
    <col min="8458" max="8704" width="9" style="85"/>
    <col min="8705" max="8705" width="8.5" style="85" bestFit="1" customWidth="1"/>
    <col min="8706" max="8706" width="10.5" style="85" bestFit="1" customWidth="1"/>
    <col min="8707" max="8707" width="11.75" style="85" bestFit="1" customWidth="1"/>
    <col min="8708" max="8708" width="13.5" style="85" customWidth="1"/>
    <col min="8709" max="8709" width="11.375" style="85" customWidth="1"/>
    <col min="8710" max="8710" width="10.25" style="85" bestFit="1" customWidth="1"/>
    <col min="8711" max="8711" width="11.625" style="85" bestFit="1" customWidth="1"/>
    <col min="8712" max="8712" width="18" style="85" bestFit="1" customWidth="1"/>
    <col min="8713" max="8713" width="17.5" style="85" bestFit="1" customWidth="1"/>
    <col min="8714" max="8960" width="9" style="85"/>
    <col min="8961" max="8961" width="8.5" style="85" bestFit="1" customWidth="1"/>
    <col min="8962" max="8962" width="10.5" style="85" bestFit="1" customWidth="1"/>
    <col min="8963" max="8963" width="11.75" style="85" bestFit="1" customWidth="1"/>
    <col min="8964" max="8964" width="13.5" style="85" customWidth="1"/>
    <col min="8965" max="8965" width="11.375" style="85" customWidth="1"/>
    <col min="8966" max="8966" width="10.25" style="85" bestFit="1" customWidth="1"/>
    <col min="8967" max="8967" width="11.625" style="85" bestFit="1" customWidth="1"/>
    <col min="8968" max="8968" width="18" style="85" bestFit="1" customWidth="1"/>
    <col min="8969" max="8969" width="17.5" style="85" bestFit="1" customWidth="1"/>
    <col min="8970" max="9216" width="9" style="85"/>
    <col min="9217" max="9217" width="8.5" style="85" bestFit="1" customWidth="1"/>
    <col min="9218" max="9218" width="10.5" style="85" bestFit="1" customWidth="1"/>
    <col min="9219" max="9219" width="11.75" style="85" bestFit="1" customWidth="1"/>
    <col min="9220" max="9220" width="13.5" style="85" customWidth="1"/>
    <col min="9221" max="9221" width="11.375" style="85" customWidth="1"/>
    <col min="9222" max="9222" width="10.25" style="85" bestFit="1" customWidth="1"/>
    <col min="9223" max="9223" width="11.625" style="85" bestFit="1" customWidth="1"/>
    <col min="9224" max="9224" width="18" style="85" bestFit="1" customWidth="1"/>
    <col min="9225" max="9225" width="17.5" style="85" bestFit="1" customWidth="1"/>
    <col min="9226" max="9472" width="9" style="85"/>
    <col min="9473" max="9473" width="8.5" style="85" bestFit="1" customWidth="1"/>
    <col min="9474" max="9474" width="10.5" style="85" bestFit="1" customWidth="1"/>
    <col min="9475" max="9475" width="11.75" style="85" bestFit="1" customWidth="1"/>
    <col min="9476" max="9476" width="13.5" style="85" customWidth="1"/>
    <col min="9477" max="9477" width="11.375" style="85" customWidth="1"/>
    <col min="9478" max="9478" width="10.25" style="85" bestFit="1" customWidth="1"/>
    <col min="9479" max="9479" width="11.625" style="85" bestFit="1" customWidth="1"/>
    <col min="9480" max="9480" width="18" style="85" bestFit="1" customWidth="1"/>
    <col min="9481" max="9481" width="17.5" style="85" bestFit="1" customWidth="1"/>
    <col min="9482" max="9728" width="9" style="85"/>
    <col min="9729" max="9729" width="8.5" style="85" bestFit="1" customWidth="1"/>
    <col min="9730" max="9730" width="10.5" style="85" bestFit="1" customWidth="1"/>
    <col min="9731" max="9731" width="11.75" style="85" bestFit="1" customWidth="1"/>
    <col min="9732" max="9732" width="13.5" style="85" customWidth="1"/>
    <col min="9733" max="9733" width="11.375" style="85" customWidth="1"/>
    <col min="9734" max="9734" width="10.25" style="85" bestFit="1" customWidth="1"/>
    <col min="9735" max="9735" width="11.625" style="85" bestFit="1" customWidth="1"/>
    <col min="9736" max="9736" width="18" style="85" bestFit="1" customWidth="1"/>
    <col min="9737" max="9737" width="17.5" style="85" bestFit="1" customWidth="1"/>
    <col min="9738" max="9984" width="9" style="85"/>
    <col min="9985" max="9985" width="8.5" style="85" bestFit="1" customWidth="1"/>
    <col min="9986" max="9986" width="10.5" style="85" bestFit="1" customWidth="1"/>
    <col min="9987" max="9987" width="11.75" style="85" bestFit="1" customWidth="1"/>
    <col min="9988" max="9988" width="13.5" style="85" customWidth="1"/>
    <col min="9989" max="9989" width="11.375" style="85" customWidth="1"/>
    <col min="9990" max="9990" width="10.25" style="85" bestFit="1" customWidth="1"/>
    <col min="9991" max="9991" width="11.625" style="85" bestFit="1" customWidth="1"/>
    <col min="9992" max="9992" width="18" style="85" bestFit="1" customWidth="1"/>
    <col min="9993" max="9993" width="17.5" style="85" bestFit="1" customWidth="1"/>
    <col min="9994" max="10240" width="9" style="85"/>
    <col min="10241" max="10241" width="8.5" style="85" bestFit="1" customWidth="1"/>
    <col min="10242" max="10242" width="10.5" style="85" bestFit="1" customWidth="1"/>
    <col min="10243" max="10243" width="11.75" style="85" bestFit="1" customWidth="1"/>
    <col min="10244" max="10244" width="13.5" style="85" customWidth="1"/>
    <col min="10245" max="10245" width="11.375" style="85" customWidth="1"/>
    <col min="10246" max="10246" width="10.25" style="85" bestFit="1" customWidth="1"/>
    <col min="10247" max="10247" width="11.625" style="85" bestFit="1" customWidth="1"/>
    <col min="10248" max="10248" width="18" style="85" bestFit="1" customWidth="1"/>
    <col min="10249" max="10249" width="17.5" style="85" bestFit="1" customWidth="1"/>
    <col min="10250" max="10496" width="9" style="85"/>
    <col min="10497" max="10497" width="8.5" style="85" bestFit="1" customWidth="1"/>
    <col min="10498" max="10498" width="10.5" style="85" bestFit="1" customWidth="1"/>
    <col min="10499" max="10499" width="11.75" style="85" bestFit="1" customWidth="1"/>
    <col min="10500" max="10500" width="13.5" style="85" customWidth="1"/>
    <col min="10501" max="10501" width="11.375" style="85" customWidth="1"/>
    <col min="10502" max="10502" width="10.25" style="85" bestFit="1" customWidth="1"/>
    <col min="10503" max="10503" width="11.625" style="85" bestFit="1" customWidth="1"/>
    <col min="10504" max="10504" width="18" style="85" bestFit="1" customWidth="1"/>
    <col min="10505" max="10505" width="17.5" style="85" bestFit="1" customWidth="1"/>
    <col min="10506" max="10752" width="9" style="85"/>
    <col min="10753" max="10753" width="8.5" style="85" bestFit="1" customWidth="1"/>
    <col min="10754" max="10754" width="10.5" style="85" bestFit="1" customWidth="1"/>
    <col min="10755" max="10755" width="11.75" style="85" bestFit="1" customWidth="1"/>
    <col min="10756" max="10756" width="13.5" style="85" customWidth="1"/>
    <col min="10757" max="10757" width="11.375" style="85" customWidth="1"/>
    <col min="10758" max="10758" width="10.25" style="85" bestFit="1" customWidth="1"/>
    <col min="10759" max="10759" width="11.625" style="85" bestFit="1" customWidth="1"/>
    <col min="10760" max="10760" width="18" style="85" bestFit="1" customWidth="1"/>
    <col min="10761" max="10761" width="17.5" style="85" bestFit="1" customWidth="1"/>
    <col min="10762" max="11008" width="9" style="85"/>
    <col min="11009" max="11009" width="8.5" style="85" bestFit="1" customWidth="1"/>
    <col min="11010" max="11010" width="10.5" style="85" bestFit="1" customWidth="1"/>
    <col min="11011" max="11011" width="11.75" style="85" bestFit="1" customWidth="1"/>
    <col min="11012" max="11012" width="13.5" style="85" customWidth="1"/>
    <col min="11013" max="11013" width="11.375" style="85" customWidth="1"/>
    <col min="11014" max="11014" width="10.25" style="85" bestFit="1" customWidth="1"/>
    <col min="11015" max="11015" width="11.625" style="85" bestFit="1" customWidth="1"/>
    <col min="11016" max="11016" width="18" style="85" bestFit="1" customWidth="1"/>
    <col min="11017" max="11017" width="17.5" style="85" bestFit="1" customWidth="1"/>
    <col min="11018" max="11264" width="9" style="85"/>
    <col min="11265" max="11265" width="8.5" style="85" bestFit="1" customWidth="1"/>
    <col min="11266" max="11266" width="10.5" style="85" bestFit="1" customWidth="1"/>
    <col min="11267" max="11267" width="11.75" style="85" bestFit="1" customWidth="1"/>
    <col min="11268" max="11268" width="13.5" style="85" customWidth="1"/>
    <col min="11269" max="11269" width="11.375" style="85" customWidth="1"/>
    <col min="11270" max="11270" width="10.25" style="85" bestFit="1" customWidth="1"/>
    <col min="11271" max="11271" width="11.625" style="85" bestFit="1" customWidth="1"/>
    <col min="11272" max="11272" width="18" style="85" bestFit="1" customWidth="1"/>
    <col min="11273" max="11273" width="17.5" style="85" bestFit="1" customWidth="1"/>
    <col min="11274" max="11520" width="9" style="85"/>
    <col min="11521" max="11521" width="8.5" style="85" bestFit="1" customWidth="1"/>
    <col min="11522" max="11522" width="10.5" style="85" bestFit="1" customWidth="1"/>
    <col min="11523" max="11523" width="11.75" style="85" bestFit="1" customWidth="1"/>
    <col min="11524" max="11524" width="13.5" style="85" customWidth="1"/>
    <col min="11525" max="11525" width="11.375" style="85" customWidth="1"/>
    <col min="11526" max="11526" width="10.25" style="85" bestFit="1" customWidth="1"/>
    <col min="11527" max="11527" width="11.625" style="85" bestFit="1" customWidth="1"/>
    <col min="11528" max="11528" width="18" style="85" bestFit="1" customWidth="1"/>
    <col min="11529" max="11529" width="17.5" style="85" bestFit="1" customWidth="1"/>
    <col min="11530" max="11776" width="9" style="85"/>
    <col min="11777" max="11777" width="8.5" style="85" bestFit="1" customWidth="1"/>
    <col min="11778" max="11778" width="10.5" style="85" bestFit="1" customWidth="1"/>
    <col min="11779" max="11779" width="11.75" style="85" bestFit="1" customWidth="1"/>
    <col min="11780" max="11780" width="13.5" style="85" customWidth="1"/>
    <col min="11781" max="11781" width="11.375" style="85" customWidth="1"/>
    <col min="11782" max="11782" width="10.25" style="85" bestFit="1" customWidth="1"/>
    <col min="11783" max="11783" width="11.625" style="85" bestFit="1" customWidth="1"/>
    <col min="11784" max="11784" width="18" style="85" bestFit="1" customWidth="1"/>
    <col min="11785" max="11785" width="17.5" style="85" bestFit="1" customWidth="1"/>
    <col min="11786" max="12032" width="9" style="85"/>
    <col min="12033" max="12033" width="8.5" style="85" bestFit="1" customWidth="1"/>
    <col min="12034" max="12034" width="10.5" style="85" bestFit="1" customWidth="1"/>
    <col min="12035" max="12035" width="11.75" style="85" bestFit="1" customWidth="1"/>
    <col min="12036" max="12036" width="13.5" style="85" customWidth="1"/>
    <col min="12037" max="12037" width="11.375" style="85" customWidth="1"/>
    <col min="12038" max="12038" width="10.25" style="85" bestFit="1" customWidth="1"/>
    <col min="12039" max="12039" width="11.625" style="85" bestFit="1" customWidth="1"/>
    <col min="12040" max="12040" width="18" style="85" bestFit="1" customWidth="1"/>
    <col min="12041" max="12041" width="17.5" style="85" bestFit="1" customWidth="1"/>
    <col min="12042" max="12288" width="9" style="85"/>
    <col min="12289" max="12289" width="8.5" style="85" bestFit="1" customWidth="1"/>
    <col min="12290" max="12290" width="10.5" style="85" bestFit="1" customWidth="1"/>
    <col min="12291" max="12291" width="11.75" style="85" bestFit="1" customWidth="1"/>
    <col min="12292" max="12292" width="13.5" style="85" customWidth="1"/>
    <col min="12293" max="12293" width="11.375" style="85" customWidth="1"/>
    <col min="12294" max="12294" width="10.25" style="85" bestFit="1" customWidth="1"/>
    <col min="12295" max="12295" width="11.625" style="85" bestFit="1" customWidth="1"/>
    <col min="12296" max="12296" width="18" style="85" bestFit="1" customWidth="1"/>
    <col min="12297" max="12297" width="17.5" style="85" bestFit="1" customWidth="1"/>
    <col min="12298" max="12544" width="9" style="85"/>
    <col min="12545" max="12545" width="8.5" style="85" bestFit="1" customWidth="1"/>
    <col min="12546" max="12546" width="10.5" style="85" bestFit="1" customWidth="1"/>
    <col min="12547" max="12547" width="11.75" style="85" bestFit="1" customWidth="1"/>
    <col min="12548" max="12548" width="13.5" style="85" customWidth="1"/>
    <col min="12549" max="12549" width="11.375" style="85" customWidth="1"/>
    <col min="12550" max="12550" width="10.25" style="85" bestFit="1" customWidth="1"/>
    <col min="12551" max="12551" width="11.625" style="85" bestFit="1" customWidth="1"/>
    <col min="12552" max="12552" width="18" style="85" bestFit="1" customWidth="1"/>
    <col min="12553" max="12553" width="17.5" style="85" bestFit="1" customWidth="1"/>
    <col min="12554" max="12800" width="9" style="85"/>
    <col min="12801" max="12801" width="8.5" style="85" bestFit="1" customWidth="1"/>
    <col min="12802" max="12802" width="10.5" style="85" bestFit="1" customWidth="1"/>
    <col min="12803" max="12803" width="11.75" style="85" bestFit="1" customWidth="1"/>
    <col min="12804" max="12804" width="13.5" style="85" customWidth="1"/>
    <col min="12805" max="12805" width="11.375" style="85" customWidth="1"/>
    <col min="12806" max="12806" width="10.25" style="85" bestFit="1" customWidth="1"/>
    <col min="12807" max="12807" width="11.625" style="85" bestFit="1" customWidth="1"/>
    <col min="12808" max="12808" width="18" style="85" bestFit="1" customWidth="1"/>
    <col min="12809" max="12809" width="17.5" style="85" bestFit="1" customWidth="1"/>
    <col min="12810" max="13056" width="9" style="85"/>
    <col min="13057" max="13057" width="8.5" style="85" bestFit="1" customWidth="1"/>
    <col min="13058" max="13058" width="10.5" style="85" bestFit="1" customWidth="1"/>
    <col min="13059" max="13059" width="11.75" style="85" bestFit="1" customWidth="1"/>
    <col min="13060" max="13060" width="13.5" style="85" customWidth="1"/>
    <col min="13061" max="13061" width="11.375" style="85" customWidth="1"/>
    <col min="13062" max="13062" width="10.25" style="85" bestFit="1" customWidth="1"/>
    <col min="13063" max="13063" width="11.625" style="85" bestFit="1" customWidth="1"/>
    <col min="13064" max="13064" width="18" style="85" bestFit="1" customWidth="1"/>
    <col min="13065" max="13065" width="17.5" style="85" bestFit="1" customWidth="1"/>
    <col min="13066" max="13312" width="9" style="85"/>
    <col min="13313" max="13313" width="8.5" style="85" bestFit="1" customWidth="1"/>
    <col min="13314" max="13314" width="10.5" style="85" bestFit="1" customWidth="1"/>
    <col min="13315" max="13315" width="11.75" style="85" bestFit="1" customWidth="1"/>
    <col min="13316" max="13316" width="13.5" style="85" customWidth="1"/>
    <col min="13317" max="13317" width="11.375" style="85" customWidth="1"/>
    <col min="13318" max="13318" width="10.25" style="85" bestFit="1" customWidth="1"/>
    <col min="13319" max="13319" width="11.625" style="85" bestFit="1" customWidth="1"/>
    <col min="13320" max="13320" width="18" style="85" bestFit="1" customWidth="1"/>
    <col min="13321" max="13321" width="17.5" style="85" bestFit="1" customWidth="1"/>
    <col min="13322" max="13568" width="9" style="85"/>
    <col min="13569" max="13569" width="8.5" style="85" bestFit="1" customWidth="1"/>
    <col min="13570" max="13570" width="10.5" style="85" bestFit="1" customWidth="1"/>
    <col min="13571" max="13571" width="11.75" style="85" bestFit="1" customWidth="1"/>
    <col min="13572" max="13572" width="13.5" style="85" customWidth="1"/>
    <col min="13573" max="13573" width="11.375" style="85" customWidth="1"/>
    <col min="13574" max="13574" width="10.25" style="85" bestFit="1" customWidth="1"/>
    <col min="13575" max="13575" width="11.625" style="85" bestFit="1" customWidth="1"/>
    <col min="13576" max="13576" width="18" style="85" bestFit="1" customWidth="1"/>
    <col min="13577" max="13577" width="17.5" style="85" bestFit="1" customWidth="1"/>
    <col min="13578" max="13824" width="9" style="85"/>
    <col min="13825" max="13825" width="8.5" style="85" bestFit="1" customWidth="1"/>
    <col min="13826" max="13826" width="10.5" style="85" bestFit="1" customWidth="1"/>
    <col min="13827" max="13827" width="11.75" style="85" bestFit="1" customWidth="1"/>
    <col min="13828" max="13828" width="13.5" style="85" customWidth="1"/>
    <col min="13829" max="13829" width="11.375" style="85" customWidth="1"/>
    <col min="13830" max="13830" width="10.25" style="85" bestFit="1" customWidth="1"/>
    <col min="13831" max="13831" width="11.625" style="85" bestFit="1" customWidth="1"/>
    <col min="13832" max="13832" width="18" style="85" bestFit="1" customWidth="1"/>
    <col min="13833" max="13833" width="17.5" style="85" bestFit="1" customWidth="1"/>
    <col min="13834" max="14080" width="9" style="85"/>
    <col min="14081" max="14081" width="8.5" style="85" bestFit="1" customWidth="1"/>
    <col min="14082" max="14082" width="10.5" style="85" bestFit="1" customWidth="1"/>
    <col min="14083" max="14083" width="11.75" style="85" bestFit="1" customWidth="1"/>
    <col min="14084" max="14084" width="13.5" style="85" customWidth="1"/>
    <col min="14085" max="14085" width="11.375" style="85" customWidth="1"/>
    <col min="14086" max="14086" width="10.25" style="85" bestFit="1" customWidth="1"/>
    <col min="14087" max="14087" width="11.625" style="85" bestFit="1" customWidth="1"/>
    <col min="14088" max="14088" width="18" style="85" bestFit="1" customWidth="1"/>
    <col min="14089" max="14089" width="17.5" style="85" bestFit="1" customWidth="1"/>
    <col min="14090" max="14336" width="9" style="85"/>
    <col min="14337" max="14337" width="8.5" style="85" bestFit="1" customWidth="1"/>
    <col min="14338" max="14338" width="10.5" style="85" bestFit="1" customWidth="1"/>
    <col min="14339" max="14339" width="11.75" style="85" bestFit="1" customWidth="1"/>
    <col min="14340" max="14340" width="13.5" style="85" customWidth="1"/>
    <col min="14341" max="14341" width="11.375" style="85" customWidth="1"/>
    <col min="14342" max="14342" width="10.25" style="85" bestFit="1" customWidth="1"/>
    <col min="14343" max="14343" width="11.625" style="85" bestFit="1" customWidth="1"/>
    <col min="14344" max="14344" width="18" style="85" bestFit="1" customWidth="1"/>
    <col min="14345" max="14345" width="17.5" style="85" bestFit="1" customWidth="1"/>
    <col min="14346" max="14592" width="9" style="85"/>
    <col min="14593" max="14593" width="8.5" style="85" bestFit="1" customWidth="1"/>
    <col min="14594" max="14594" width="10.5" style="85" bestFit="1" customWidth="1"/>
    <col min="14595" max="14595" width="11.75" style="85" bestFit="1" customWidth="1"/>
    <col min="14596" max="14596" width="13.5" style="85" customWidth="1"/>
    <col min="14597" max="14597" width="11.375" style="85" customWidth="1"/>
    <col min="14598" max="14598" width="10.25" style="85" bestFit="1" customWidth="1"/>
    <col min="14599" max="14599" width="11.625" style="85" bestFit="1" customWidth="1"/>
    <col min="14600" max="14600" width="18" style="85" bestFit="1" customWidth="1"/>
    <col min="14601" max="14601" width="17.5" style="85" bestFit="1" customWidth="1"/>
    <col min="14602" max="14848" width="9" style="85"/>
    <col min="14849" max="14849" width="8.5" style="85" bestFit="1" customWidth="1"/>
    <col min="14850" max="14850" width="10.5" style="85" bestFit="1" customWidth="1"/>
    <col min="14851" max="14851" width="11.75" style="85" bestFit="1" customWidth="1"/>
    <col min="14852" max="14852" width="13.5" style="85" customWidth="1"/>
    <col min="14853" max="14853" width="11.375" style="85" customWidth="1"/>
    <col min="14854" max="14854" width="10.25" style="85" bestFit="1" customWidth="1"/>
    <col min="14855" max="14855" width="11.625" style="85" bestFit="1" customWidth="1"/>
    <col min="14856" max="14856" width="18" style="85" bestFit="1" customWidth="1"/>
    <col min="14857" max="14857" width="17.5" style="85" bestFit="1" customWidth="1"/>
    <col min="14858" max="15104" width="9" style="85"/>
    <col min="15105" max="15105" width="8.5" style="85" bestFit="1" customWidth="1"/>
    <col min="15106" max="15106" width="10.5" style="85" bestFit="1" customWidth="1"/>
    <col min="15107" max="15107" width="11.75" style="85" bestFit="1" customWidth="1"/>
    <col min="15108" max="15108" width="13.5" style="85" customWidth="1"/>
    <col min="15109" max="15109" width="11.375" style="85" customWidth="1"/>
    <col min="15110" max="15110" width="10.25" style="85" bestFit="1" customWidth="1"/>
    <col min="15111" max="15111" width="11.625" style="85" bestFit="1" customWidth="1"/>
    <col min="15112" max="15112" width="18" style="85" bestFit="1" customWidth="1"/>
    <col min="15113" max="15113" width="17.5" style="85" bestFit="1" customWidth="1"/>
    <col min="15114" max="15360" width="9" style="85"/>
    <col min="15361" max="15361" width="8.5" style="85" bestFit="1" customWidth="1"/>
    <col min="15362" max="15362" width="10.5" style="85" bestFit="1" customWidth="1"/>
    <col min="15363" max="15363" width="11.75" style="85" bestFit="1" customWidth="1"/>
    <col min="15364" max="15364" width="13.5" style="85" customWidth="1"/>
    <col min="15365" max="15365" width="11.375" style="85" customWidth="1"/>
    <col min="15366" max="15366" width="10.25" style="85" bestFit="1" customWidth="1"/>
    <col min="15367" max="15367" width="11.625" style="85" bestFit="1" customWidth="1"/>
    <col min="15368" max="15368" width="18" style="85" bestFit="1" customWidth="1"/>
    <col min="15369" max="15369" width="17.5" style="85" bestFit="1" customWidth="1"/>
    <col min="15370" max="15616" width="9" style="85"/>
    <col min="15617" max="15617" width="8.5" style="85" bestFit="1" customWidth="1"/>
    <col min="15618" max="15618" width="10.5" style="85" bestFit="1" customWidth="1"/>
    <col min="15619" max="15619" width="11.75" style="85" bestFit="1" customWidth="1"/>
    <col min="15620" max="15620" width="13.5" style="85" customWidth="1"/>
    <col min="15621" max="15621" width="11.375" style="85" customWidth="1"/>
    <col min="15622" max="15622" width="10.25" style="85" bestFit="1" customWidth="1"/>
    <col min="15623" max="15623" width="11.625" style="85" bestFit="1" customWidth="1"/>
    <col min="15624" max="15624" width="18" style="85" bestFit="1" customWidth="1"/>
    <col min="15625" max="15625" width="17.5" style="85" bestFit="1" customWidth="1"/>
    <col min="15626" max="15872" width="9" style="85"/>
    <col min="15873" max="15873" width="8.5" style="85" bestFit="1" customWidth="1"/>
    <col min="15874" max="15874" width="10.5" style="85" bestFit="1" customWidth="1"/>
    <col min="15875" max="15875" width="11.75" style="85" bestFit="1" customWidth="1"/>
    <col min="15876" max="15876" width="13.5" style="85" customWidth="1"/>
    <col min="15877" max="15877" width="11.375" style="85" customWidth="1"/>
    <col min="15878" max="15878" width="10.25" style="85" bestFit="1" customWidth="1"/>
    <col min="15879" max="15879" width="11.625" style="85" bestFit="1" customWidth="1"/>
    <col min="15880" max="15880" width="18" style="85" bestFit="1" customWidth="1"/>
    <col min="15881" max="15881" width="17.5" style="85" bestFit="1" customWidth="1"/>
    <col min="15882" max="16128" width="9" style="85"/>
    <col min="16129" max="16129" width="8.5" style="85" bestFit="1" customWidth="1"/>
    <col min="16130" max="16130" width="10.5" style="85" bestFit="1" customWidth="1"/>
    <col min="16131" max="16131" width="11.75" style="85" bestFit="1" customWidth="1"/>
    <col min="16132" max="16132" width="13.5" style="85" customWidth="1"/>
    <col min="16133" max="16133" width="11.375" style="85" customWidth="1"/>
    <col min="16134" max="16134" width="10.25" style="85" bestFit="1" customWidth="1"/>
    <col min="16135" max="16135" width="11.625" style="85" bestFit="1" customWidth="1"/>
    <col min="16136" max="16136" width="18" style="85" bestFit="1" customWidth="1"/>
    <col min="16137" max="16137" width="17.5" style="85" bestFit="1" customWidth="1"/>
    <col min="16138" max="16384" width="9" style="85"/>
  </cols>
  <sheetData>
    <row r="1" spans="1:24" ht="25.5" x14ac:dyDescent="0.2">
      <c r="A1" s="164" t="s">
        <v>0</v>
      </c>
      <c r="B1" s="164"/>
      <c r="C1" s="164"/>
      <c r="D1" s="164"/>
      <c r="E1" s="164"/>
      <c r="F1" s="164"/>
      <c r="G1" s="164"/>
      <c r="H1" s="164"/>
      <c r="I1" s="164"/>
      <c r="J1" s="210" t="s">
        <v>139</v>
      </c>
      <c r="K1" s="170"/>
      <c r="L1" s="1" t="s">
        <v>168</v>
      </c>
      <c r="N1" s="164" t="s">
        <v>172</v>
      </c>
      <c r="O1" s="164"/>
      <c r="P1" s="164"/>
      <c r="Q1" s="164"/>
      <c r="R1" s="164"/>
      <c r="S1" s="164"/>
      <c r="T1" s="164"/>
      <c r="U1" s="164"/>
      <c r="V1" s="164"/>
    </row>
    <row r="2" spans="1:24" ht="25.5" x14ac:dyDescent="0.15">
      <c r="A2" s="86"/>
      <c r="B2" s="86"/>
      <c r="C2" s="86"/>
      <c r="D2" s="86"/>
      <c r="F2" s="87"/>
      <c r="G2" s="87"/>
      <c r="H2" s="87" t="s">
        <v>1</v>
      </c>
      <c r="I2" s="88" t="s">
        <v>109</v>
      </c>
      <c r="J2" s="170"/>
      <c r="K2" s="170"/>
      <c r="L2" s="1" t="s">
        <v>140</v>
      </c>
      <c r="N2" s="86"/>
      <c r="O2" s="86"/>
      <c r="P2" s="86"/>
      <c r="Q2" s="86"/>
      <c r="S2" s="87"/>
      <c r="T2" s="87"/>
      <c r="U2" s="87" t="s">
        <v>1</v>
      </c>
      <c r="V2" s="140" t="s">
        <v>109</v>
      </c>
    </row>
    <row r="3" spans="1:24" x14ac:dyDescent="0.2">
      <c r="A3" s="89" t="s">
        <v>3</v>
      </c>
      <c r="B3" s="165"/>
      <c r="C3" s="165"/>
      <c r="D3" s="165"/>
      <c r="E3" s="165"/>
      <c r="F3" s="165"/>
      <c r="G3" s="90" t="s">
        <v>4</v>
      </c>
      <c r="H3" s="166">
        <v>45236</v>
      </c>
      <c r="I3" s="166"/>
      <c r="J3" s="85" t="s">
        <v>65</v>
      </c>
      <c r="L3" s="1"/>
      <c r="N3" s="89" t="s">
        <v>3</v>
      </c>
      <c r="O3" s="165"/>
      <c r="P3" s="165"/>
      <c r="Q3" s="165"/>
      <c r="R3" s="165"/>
      <c r="S3" s="165"/>
      <c r="T3" s="90" t="s">
        <v>4</v>
      </c>
      <c r="U3" s="166">
        <v>45236</v>
      </c>
      <c r="V3" s="166"/>
      <c r="W3" s="107" t="s">
        <v>114</v>
      </c>
    </row>
    <row r="4" spans="1:24" x14ac:dyDescent="0.2">
      <c r="A4" s="89" t="s">
        <v>5</v>
      </c>
      <c r="B4" s="167" t="s">
        <v>110</v>
      </c>
      <c r="C4" s="168"/>
      <c r="D4" s="168"/>
      <c r="E4" s="168"/>
      <c r="F4" s="169"/>
      <c r="G4" s="90" t="s">
        <v>7</v>
      </c>
      <c r="H4" s="186" t="s">
        <v>57</v>
      </c>
      <c r="I4" s="186"/>
      <c r="J4" s="85" t="s">
        <v>167</v>
      </c>
      <c r="N4" s="89" t="s">
        <v>5</v>
      </c>
      <c r="O4" s="167" t="s">
        <v>110</v>
      </c>
      <c r="P4" s="168"/>
      <c r="Q4" s="168"/>
      <c r="R4" s="168"/>
      <c r="S4" s="169"/>
      <c r="T4" s="90" t="s">
        <v>7</v>
      </c>
      <c r="U4" s="186" t="s">
        <v>57</v>
      </c>
      <c r="V4" s="186"/>
    </row>
    <row r="5" spans="1:24" x14ac:dyDescent="0.2">
      <c r="A5" s="187" t="s">
        <v>9</v>
      </c>
      <c r="B5" s="188" t="s">
        <v>10</v>
      </c>
      <c r="C5" s="193" t="s">
        <v>11</v>
      </c>
      <c r="D5" s="193"/>
      <c r="E5" s="193"/>
      <c r="F5" s="193"/>
      <c r="G5" s="89" t="s">
        <v>12</v>
      </c>
      <c r="H5" s="89" t="s">
        <v>13</v>
      </c>
      <c r="I5" s="89" t="s">
        <v>14</v>
      </c>
      <c r="J5" s="141" t="s">
        <v>170</v>
      </c>
      <c r="N5" s="187" t="s">
        <v>9</v>
      </c>
      <c r="O5" s="188" t="s">
        <v>10</v>
      </c>
      <c r="P5" s="193" t="s">
        <v>11</v>
      </c>
      <c r="Q5" s="193"/>
      <c r="R5" s="193"/>
      <c r="S5" s="193"/>
      <c r="T5" s="89" t="s">
        <v>12</v>
      </c>
      <c r="U5" s="89" t="s">
        <v>13</v>
      </c>
      <c r="V5" s="89" t="s">
        <v>14</v>
      </c>
    </row>
    <row r="6" spans="1:24" ht="15.75" x14ac:dyDescent="0.2">
      <c r="A6" s="187"/>
      <c r="B6" s="187"/>
      <c r="C6" s="193"/>
      <c r="D6" s="193"/>
      <c r="E6" s="193"/>
      <c r="F6" s="193"/>
      <c r="G6" s="89" t="s">
        <v>15</v>
      </c>
      <c r="H6" s="91" t="s">
        <v>16</v>
      </c>
      <c r="I6" s="91" t="s">
        <v>17</v>
      </c>
      <c r="N6" s="187"/>
      <c r="O6" s="187"/>
      <c r="P6" s="193"/>
      <c r="Q6" s="193"/>
      <c r="R6" s="193"/>
      <c r="S6" s="193"/>
      <c r="T6" s="89" t="s">
        <v>15</v>
      </c>
      <c r="U6" s="91" t="s">
        <v>16</v>
      </c>
      <c r="V6" s="91" t="s">
        <v>17</v>
      </c>
    </row>
    <row r="7" spans="1:24" ht="15.75" x14ac:dyDescent="0.2">
      <c r="A7" s="8" t="s">
        <v>18</v>
      </c>
      <c r="B7" s="9" t="s">
        <v>19</v>
      </c>
      <c r="C7" s="194" t="s">
        <v>110</v>
      </c>
      <c r="D7" s="194"/>
      <c r="E7" s="194"/>
      <c r="F7" s="194"/>
      <c r="G7" s="10">
        <f>0.144^2*0.7854*8.89/10*28*1.015^2*2</f>
        <v>0.83529090682684382</v>
      </c>
      <c r="H7" s="63">
        <f>(J7+1140)/1.13/1000+1.64</f>
        <v>73.445309734513287</v>
      </c>
      <c r="I7" s="92">
        <f>G7*H7</f>
        <v>61.348199370320025</v>
      </c>
      <c r="J7" s="85">
        <v>80000</v>
      </c>
      <c r="N7" s="8" t="s">
        <v>18</v>
      </c>
      <c r="O7" s="9" t="s">
        <v>19</v>
      </c>
      <c r="P7" s="194" t="s">
        <v>110</v>
      </c>
      <c r="Q7" s="194"/>
      <c r="R7" s="194"/>
      <c r="S7" s="194"/>
      <c r="T7" s="10">
        <f>0.143^2*0.7854*8.89/10*28*1.015^2*2</f>
        <v>0.82372992639381404</v>
      </c>
      <c r="U7" s="63">
        <f>(W7+1300)/1.13/1000+1.64</f>
        <v>73.586902654867274</v>
      </c>
      <c r="V7" s="92">
        <f>T7*U7</f>
        <v>60.615733907442575</v>
      </c>
      <c r="W7" s="85">
        <v>80000</v>
      </c>
    </row>
    <row r="8" spans="1:24" ht="15.75" x14ac:dyDescent="0.2">
      <c r="A8" s="8" t="s">
        <v>20</v>
      </c>
      <c r="B8" s="9" t="s">
        <v>21</v>
      </c>
      <c r="C8" s="194" t="s">
        <v>111</v>
      </c>
      <c r="D8" s="194"/>
      <c r="E8" s="194"/>
      <c r="F8" s="194"/>
      <c r="G8" s="10">
        <f>(1.9^2-0.88^2*0.85)*0.7854*1.52/10*2*1.015</f>
        <v>0.71533844452223994</v>
      </c>
      <c r="H8" s="64">
        <f>5.15+0.5</f>
        <v>5.65</v>
      </c>
      <c r="I8" s="92">
        <f>G8*H8</f>
        <v>4.0416622115506557</v>
      </c>
      <c r="N8" s="8" t="s">
        <v>20</v>
      </c>
      <c r="O8" s="9" t="s">
        <v>21</v>
      </c>
      <c r="P8" s="194" t="s">
        <v>111</v>
      </c>
      <c r="Q8" s="194"/>
      <c r="R8" s="194"/>
      <c r="S8" s="194"/>
      <c r="T8" s="10">
        <f>(1.9^2-0.88^2*0.85)*0.7854*1.52/10*2*1.015</f>
        <v>0.71533844452223994</v>
      </c>
      <c r="U8" s="64">
        <f>6+0.3</f>
        <v>6.3</v>
      </c>
      <c r="V8" s="92">
        <f>T8*U8</f>
        <v>4.5066322004901114</v>
      </c>
    </row>
    <row r="9" spans="1:24" ht="15.75" x14ac:dyDescent="0.2">
      <c r="A9" s="8">
        <v>3</v>
      </c>
      <c r="B9" s="9" t="s">
        <v>23</v>
      </c>
      <c r="C9" s="194" t="s">
        <v>112</v>
      </c>
      <c r="D9" s="194"/>
      <c r="E9" s="194"/>
      <c r="F9" s="194"/>
      <c r="G9" s="10">
        <f>(5.05^2-1.9^2*2)*0.7854*1.47/10</f>
        <v>2.1107840984999999</v>
      </c>
      <c r="H9" s="64">
        <f>6.78+0.5</f>
        <v>7.28</v>
      </c>
      <c r="I9" s="92">
        <f>G9*H9</f>
        <v>15.36650823708</v>
      </c>
      <c r="N9" s="8">
        <v>3</v>
      </c>
      <c r="O9" s="9" t="s">
        <v>23</v>
      </c>
      <c r="P9" s="194" t="s">
        <v>112</v>
      </c>
      <c r="Q9" s="194"/>
      <c r="R9" s="194"/>
      <c r="S9" s="194"/>
      <c r="T9" s="10">
        <f>(5.05^2-1.9^2*2)*0.7854*1.47/10</f>
        <v>2.1107840984999999</v>
      </c>
      <c r="U9" s="64">
        <f>7.59+0.5</f>
        <v>8.09</v>
      </c>
      <c r="V9" s="92">
        <f>T9*U9</f>
        <v>17.076243356865</v>
      </c>
      <c r="W9" s="85" t="s">
        <v>113</v>
      </c>
    </row>
    <row r="10" spans="1:24" ht="15.75" x14ac:dyDescent="0.15">
      <c r="A10" s="93" t="s">
        <v>25</v>
      </c>
      <c r="B10" s="94">
        <f>I10/100</f>
        <v>0.80756369818950668</v>
      </c>
      <c r="C10" s="197" t="s">
        <v>26</v>
      </c>
      <c r="D10" s="197"/>
      <c r="E10" s="197"/>
      <c r="F10" s="197"/>
      <c r="G10" s="95">
        <f>SUM(G7:G9)/100</f>
        <v>3.6614134498490838E-2</v>
      </c>
      <c r="H10" s="96" t="s">
        <v>27</v>
      </c>
      <c r="I10" s="97">
        <f>SUM(I7:I9)</f>
        <v>80.756369818950674</v>
      </c>
      <c r="J10" s="56">
        <f>B10*1.13/I21</f>
        <v>0.75079502254800334</v>
      </c>
      <c r="K10" s="57">
        <f>G10*G19</f>
        <v>732.28268996981672</v>
      </c>
      <c r="N10" s="93" t="s">
        <v>25</v>
      </c>
      <c r="O10" s="94">
        <f>V10/100</f>
        <v>0.82198609464797701</v>
      </c>
      <c r="P10" s="197" t="s">
        <v>26</v>
      </c>
      <c r="Q10" s="197"/>
      <c r="R10" s="197"/>
      <c r="S10" s="197"/>
      <c r="T10" s="95">
        <f>SUM(T7:T9)/100</f>
        <v>3.6498524694160539E-2</v>
      </c>
      <c r="U10" s="96" t="s">
        <v>27</v>
      </c>
      <c r="V10" s="97">
        <f>SUM(V7:V9)</f>
        <v>82.198609464797698</v>
      </c>
      <c r="W10" s="56">
        <f>O10*1.13/V21</f>
        <v>0.78162235239644628</v>
      </c>
      <c r="X10" s="57">
        <f>T10*T19</f>
        <v>729.97049388321079</v>
      </c>
    </row>
    <row r="11" spans="1:24" ht="36" x14ac:dyDescent="0.2">
      <c r="A11" s="17" t="s">
        <v>10</v>
      </c>
      <c r="B11" s="18" t="s">
        <v>28</v>
      </c>
      <c r="C11" s="17" t="s">
        <v>29</v>
      </c>
      <c r="D11" s="17" t="s">
        <v>30</v>
      </c>
      <c r="E11" s="17" t="s">
        <v>31</v>
      </c>
      <c r="F11" s="18" t="s">
        <v>32</v>
      </c>
      <c r="G11" s="18" t="s">
        <v>33</v>
      </c>
      <c r="H11" s="19" t="s">
        <v>34</v>
      </c>
      <c r="I11" s="17" t="s">
        <v>35</v>
      </c>
      <c r="N11" s="17" t="s">
        <v>10</v>
      </c>
      <c r="O11" s="18" t="s">
        <v>28</v>
      </c>
      <c r="P11" s="17" t="s">
        <v>29</v>
      </c>
      <c r="Q11" s="17" t="s">
        <v>30</v>
      </c>
      <c r="R11" s="17" t="s">
        <v>31</v>
      </c>
      <c r="S11" s="18" t="s">
        <v>32</v>
      </c>
      <c r="T11" s="18" t="s">
        <v>33</v>
      </c>
      <c r="U11" s="19" t="s">
        <v>34</v>
      </c>
      <c r="V11" s="17" t="s">
        <v>35</v>
      </c>
    </row>
    <row r="12" spans="1:24" ht="15.75" x14ac:dyDescent="0.2">
      <c r="A12" s="9" t="s">
        <v>19</v>
      </c>
      <c r="B12" s="68">
        <f>0.24*2</f>
        <v>0.48</v>
      </c>
      <c r="C12" s="20">
        <v>0</v>
      </c>
      <c r="D12" s="21">
        <v>10</v>
      </c>
      <c r="E12" s="21">
        <f>B12*D12*G19/1000+C12*D12*G17</f>
        <v>96</v>
      </c>
      <c r="F12" s="70">
        <v>0.1</v>
      </c>
      <c r="G12" s="98">
        <v>0</v>
      </c>
      <c r="H12" s="99">
        <f>F12*I7</f>
        <v>6.1348199370320025</v>
      </c>
      <c r="I12" s="21">
        <f>E12+H12*G17</f>
        <v>102.13481993703201</v>
      </c>
      <c r="N12" s="9" t="s">
        <v>19</v>
      </c>
      <c r="O12" s="68">
        <f>0.24*2</f>
        <v>0.48</v>
      </c>
      <c r="P12" s="20">
        <v>0</v>
      </c>
      <c r="Q12" s="21">
        <v>10</v>
      </c>
      <c r="R12" s="21">
        <f>O12*Q12*T19/1000+P12*Q12*T17</f>
        <v>96</v>
      </c>
      <c r="S12" s="70">
        <v>0.1</v>
      </c>
      <c r="T12" s="98">
        <v>0</v>
      </c>
      <c r="U12" s="99">
        <f>S12*V7</f>
        <v>6.0615733907442575</v>
      </c>
      <c r="V12" s="21">
        <f>R12+U12*T17</f>
        <v>102.06157339074426</v>
      </c>
    </row>
    <row r="13" spans="1:24" ht="15.75" x14ac:dyDescent="0.2">
      <c r="A13" s="9" t="s">
        <v>21</v>
      </c>
      <c r="B13" s="26">
        <f>1000/60/220*2</f>
        <v>0.15151515151515152</v>
      </c>
      <c r="C13" s="20">
        <v>0</v>
      </c>
      <c r="D13" s="21">
        <v>120</v>
      </c>
      <c r="E13" s="21">
        <f>B13*D13*G19/1000+C13*D13*G17</f>
        <v>363.63636363636363</v>
      </c>
      <c r="F13" s="70">
        <v>0.5</v>
      </c>
      <c r="G13" s="72">
        <v>2</v>
      </c>
      <c r="H13" s="99">
        <f>F13*(I8+I7)+G13*H8</f>
        <v>43.994930790935342</v>
      </c>
      <c r="I13" s="21">
        <f>E13+H13*G17</f>
        <v>407.63129442729894</v>
      </c>
      <c r="N13" s="9" t="s">
        <v>21</v>
      </c>
      <c r="O13" s="26">
        <f>1000/60/220*2</f>
        <v>0.15151515151515152</v>
      </c>
      <c r="P13" s="20">
        <v>0</v>
      </c>
      <c r="Q13" s="21">
        <v>120</v>
      </c>
      <c r="R13" s="21">
        <f>O13*Q13*T19/1000+P13*Q13*T17</f>
        <v>363.63636363636363</v>
      </c>
      <c r="S13" s="70">
        <v>0.5</v>
      </c>
      <c r="T13" s="72">
        <v>2</v>
      </c>
      <c r="U13" s="99">
        <f>S13*(V8+V7)+T13*U8</f>
        <v>45.161183053966347</v>
      </c>
      <c r="V13" s="21">
        <f>R13+U13*T17</f>
        <v>408.79754669032997</v>
      </c>
    </row>
    <row r="14" spans="1:24" ht="15.75" x14ac:dyDescent="0.2">
      <c r="A14" s="9" t="s">
        <v>36</v>
      </c>
      <c r="B14" s="26">
        <f>1000/60/40</f>
        <v>0.41666666666666669</v>
      </c>
      <c r="C14" s="20">
        <v>0</v>
      </c>
      <c r="D14" s="21">
        <v>40</v>
      </c>
      <c r="E14" s="21">
        <f>B14*D14*G19/1000+C14*D14*G17</f>
        <v>333.33333333333337</v>
      </c>
      <c r="F14" s="70">
        <v>0.1</v>
      </c>
      <c r="G14" s="72">
        <v>0</v>
      </c>
      <c r="H14" s="99">
        <f>F14*(I8+I7)</f>
        <v>6.5389861581870683</v>
      </c>
      <c r="I14" s="21">
        <f>E14+H14*G17</f>
        <v>339.87231949152044</v>
      </c>
      <c r="N14" s="9" t="s">
        <v>36</v>
      </c>
      <c r="O14" s="26">
        <f>1000/60/40</f>
        <v>0.41666666666666669</v>
      </c>
      <c r="P14" s="20">
        <v>0</v>
      </c>
      <c r="Q14" s="21">
        <v>40</v>
      </c>
      <c r="R14" s="21">
        <f>O14*Q14*T19/1000+P14*Q14*T17</f>
        <v>333.33333333333337</v>
      </c>
      <c r="S14" s="70">
        <v>0.1</v>
      </c>
      <c r="T14" s="72">
        <v>0</v>
      </c>
      <c r="U14" s="99">
        <f>S14*(V8+V7)</f>
        <v>6.5122366107932699</v>
      </c>
      <c r="V14" s="21">
        <f>R14+U14*T17</f>
        <v>339.84556994412662</v>
      </c>
    </row>
    <row r="15" spans="1:24" ht="15.75" x14ac:dyDescent="0.2">
      <c r="A15" s="9" t="s">
        <v>23</v>
      </c>
      <c r="B15" s="26">
        <f>1000/60/50</f>
        <v>0.33333333333333337</v>
      </c>
      <c r="C15" s="20">
        <v>0</v>
      </c>
      <c r="D15" s="21">
        <v>140</v>
      </c>
      <c r="E15" s="21">
        <f>B15*D15*G19/1000+C15*D15*G17</f>
        <v>933.33333333333337</v>
      </c>
      <c r="F15" s="70">
        <v>2</v>
      </c>
      <c r="G15" s="72">
        <v>5</v>
      </c>
      <c r="H15" s="99">
        <f>F15*I10+G15*H9</f>
        <v>197.91273963790135</v>
      </c>
      <c r="I15" s="21">
        <f>E15+H15*G17</f>
        <v>1131.2460729712348</v>
      </c>
      <c r="N15" s="9" t="s">
        <v>23</v>
      </c>
      <c r="O15" s="26">
        <f>1000/60/50</f>
        <v>0.33333333333333337</v>
      </c>
      <c r="P15" s="20">
        <v>0</v>
      </c>
      <c r="Q15" s="21">
        <v>140</v>
      </c>
      <c r="R15" s="21">
        <f>O15*Q15*T19/1000+P15*Q15*T17</f>
        <v>933.33333333333337</v>
      </c>
      <c r="S15" s="70">
        <v>2</v>
      </c>
      <c r="T15" s="72">
        <v>5</v>
      </c>
      <c r="U15" s="99">
        <f>S15*V10+T15*U9</f>
        <v>204.84721892959539</v>
      </c>
      <c r="V15" s="21">
        <f>R15+U15*T17</f>
        <v>1138.1805522629288</v>
      </c>
    </row>
    <row r="16" spans="1:24" ht="24" x14ac:dyDescent="0.2">
      <c r="A16" s="157" t="s">
        <v>37</v>
      </c>
      <c r="B16" s="158"/>
      <c r="C16" s="28" t="s">
        <v>38</v>
      </c>
      <c r="D16" s="28" t="s">
        <v>39</v>
      </c>
      <c r="E16" s="28" t="s">
        <v>40</v>
      </c>
      <c r="F16" s="100" t="s">
        <v>41</v>
      </c>
      <c r="G16" s="60" t="s">
        <v>42</v>
      </c>
      <c r="H16" s="101" t="s">
        <v>43</v>
      </c>
      <c r="I16" s="102">
        <f>SUM(I12:I15)</f>
        <v>1980.8845068270862</v>
      </c>
      <c r="N16" s="157" t="s">
        <v>37</v>
      </c>
      <c r="O16" s="158"/>
      <c r="P16" s="28" t="s">
        <v>38</v>
      </c>
      <c r="Q16" s="28" t="s">
        <v>39</v>
      </c>
      <c r="R16" s="28" t="s">
        <v>40</v>
      </c>
      <c r="S16" s="100" t="s">
        <v>41</v>
      </c>
      <c r="T16" s="60" t="s">
        <v>42</v>
      </c>
      <c r="U16" s="101" t="s">
        <v>43</v>
      </c>
      <c r="V16" s="102">
        <f>SUM(V12:V15)</f>
        <v>1988.8852422881296</v>
      </c>
    </row>
    <row r="17" spans="1:22" ht="15" x14ac:dyDescent="0.2">
      <c r="A17" s="159"/>
      <c r="B17" s="160"/>
      <c r="C17" s="58">
        <v>0</v>
      </c>
      <c r="D17" s="58">
        <v>0.85</v>
      </c>
      <c r="E17" s="33">
        <v>6.7000000000000002E-3</v>
      </c>
      <c r="F17" s="73">
        <v>0.02</v>
      </c>
      <c r="G17" s="104">
        <v>1</v>
      </c>
      <c r="H17" s="163" t="s">
        <v>44</v>
      </c>
      <c r="I17" s="195" t="s">
        <v>45</v>
      </c>
      <c r="N17" s="159"/>
      <c r="O17" s="160"/>
      <c r="P17" s="33">
        <v>0</v>
      </c>
      <c r="Q17" s="58">
        <v>0.85</v>
      </c>
      <c r="R17" s="33">
        <v>6.7000000000000002E-3</v>
      </c>
      <c r="S17" s="73">
        <v>2.5000000000000001E-2</v>
      </c>
      <c r="T17" s="104">
        <v>1</v>
      </c>
      <c r="U17" s="163" t="s">
        <v>44</v>
      </c>
      <c r="V17" s="195" t="s">
        <v>45</v>
      </c>
    </row>
    <row r="18" spans="1:22" ht="24" x14ac:dyDescent="0.2">
      <c r="A18" s="159"/>
      <c r="B18" s="160"/>
      <c r="C18" s="30" t="s">
        <v>37</v>
      </c>
      <c r="D18" s="36" t="s">
        <v>46</v>
      </c>
      <c r="E18" s="28" t="s">
        <v>47</v>
      </c>
      <c r="F18" s="31" t="s">
        <v>48</v>
      </c>
      <c r="G18" s="37" t="s">
        <v>49</v>
      </c>
      <c r="H18" s="163"/>
      <c r="I18" s="196"/>
      <c r="N18" s="159"/>
      <c r="O18" s="160"/>
      <c r="P18" s="30" t="s">
        <v>37</v>
      </c>
      <c r="Q18" s="36" t="s">
        <v>46</v>
      </c>
      <c r="R18" s="28" t="s">
        <v>47</v>
      </c>
      <c r="S18" s="31" t="s">
        <v>48</v>
      </c>
      <c r="T18" s="37" t="s">
        <v>49</v>
      </c>
      <c r="U18" s="163"/>
      <c r="V18" s="196"/>
    </row>
    <row r="19" spans="1:22" ht="18.75" x14ac:dyDescent="0.2">
      <c r="A19" s="159"/>
      <c r="B19" s="160"/>
      <c r="C19" s="76">
        <f>200</f>
        <v>200</v>
      </c>
      <c r="D19" s="77">
        <v>0.08</v>
      </c>
      <c r="E19" s="132">
        <v>0</v>
      </c>
      <c r="F19" s="59">
        <v>0.13</v>
      </c>
      <c r="G19" s="75">
        <v>20000</v>
      </c>
      <c r="H19" s="39">
        <f>I16/G19+B10+B10*F17</f>
        <v>0.92275919749465107</v>
      </c>
      <c r="I19" s="65">
        <f>(H19/(1-D19)+C17+E17+E19/G19+C19/G19+C21*D21+D17*G10)*(1+F19)*(1+E21+F21)</f>
        <v>1.2016770251858808</v>
      </c>
      <c r="N19" s="159"/>
      <c r="O19" s="160"/>
      <c r="P19" s="76">
        <f>200/50000*T19</f>
        <v>80</v>
      </c>
      <c r="Q19" s="77">
        <v>5.2999999999999999E-2</v>
      </c>
      <c r="R19" s="38">
        <v>0</v>
      </c>
      <c r="S19" s="59">
        <v>0.13</v>
      </c>
      <c r="T19" s="75">
        <v>20000</v>
      </c>
      <c r="U19" s="39">
        <f>V16/T19+O10+O10*S17</f>
        <v>0.94198000912858293</v>
      </c>
      <c r="V19" s="65">
        <f>(U19/(1-Q19)+P17+R17+R19/T19+P19/T19+P21*Q21+Q17*T10)*(1+S19)*(1+R21+S21)</f>
        <v>1.179355874333319</v>
      </c>
    </row>
    <row r="20" spans="1:22" x14ac:dyDescent="0.2">
      <c r="A20" s="159"/>
      <c r="B20" s="160"/>
      <c r="C20" s="100" t="s">
        <v>50</v>
      </c>
      <c r="D20" s="100" t="s">
        <v>51</v>
      </c>
      <c r="E20" s="60" t="s">
        <v>52</v>
      </c>
      <c r="F20" s="60" t="s">
        <v>53</v>
      </c>
      <c r="G20" s="60" t="s">
        <v>54</v>
      </c>
      <c r="H20" s="105" t="s">
        <v>55</v>
      </c>
      <c r="I20" s="66" t="s">
        <v>56</v>
      </c>
      <c r="J20" s="85" t="s">
        <v>169</v>
      </c>
      <c r="N20" s="159"/>
      <c r="O20" s="160"/>
      <c r="P20" s="100" t="s">
        <v>50</v>
      </c>
      <c r="Q20" s="100" t="s">
        <v>51</v>
      </c>
      <c r="R20" s="60" t="s">
        <v>52</v>
      </c>
      <c r="S20" s="60" t="s">
        <v>53</v>
      </c>
      <c r="T20" s="60" t="s">
        <v>54</v>
      </c>
      <c r="U20" s="105" t="s">
        <v>55</v>
      </c>
      <c r="V20" s="66" t="s">
        <v>56</v>
      </c>
    </row>
    <row r="21" spans="1:22" ht="18.75" x14ac:dyDescent="0.2">
      <c r="A21" s="161"/>
      <c r="B21" s="162"/>
      <c r="C21" s="106">
        <v>0</v>
      </c>
      <c r="D21" s="74">
        <v>0</v>
      </c>
      <c r="E21" s="61">
        <v>7.0000000000000001E-3</v>
      </c>
      <c r="F21" s="61">
        <v>5.0000000000000001E-3</v>
      </c>
      <c r="G21" s="62">
        <v>0.15</v>
      </c>
      <c r="H21" s="39">
        <f>(H19+C17+E17+E19/G19+C19/G19+C21*D21+D17*G10)*(1+F19)*(1+E21+F21)</f>
        <v>1.1099178505870131</v>
      </c>
      <c r="I21" s="65">
        <f>I19+(I19-H21)*G21</f>
        <v>1.215440901375711</v>
      </c>
      <c r="J21" s="85">
        <v>1.1870000000000001</v>
      </c>
      <c r="K21" s="142">
        <f>I21/J21-1</f>
        <v>2.3960321293775122E-2</v>
      </c>
      <c r="N21" s="161"/>
      <c r="O21" s="162"/>
      <c r="P21" s="106">
        <v>0</v>
      </c>
      <c r="Q21" s="74">
        <v>0</v>
      </c>
      <c r="R21" s="61">
        <v>7.0000000000000001E-3</v>
      </c>
      <c r="S21" s="61">
        <v>0</v>
      </c>
      <c r="T21" s="62">
        <v>0.15</v>
      </c>
      <c r="U21" s="39">
        <f>(U19+P17+R17+R19/T19+P19/T19+P21*Q21+Q17*T10)*(1+S19)*(1+R21+S21)</f>
        <v>1.1193663399870279</v>
      </c>
      <c r="V21" s="65">
        <f>V19+(V19-U21)*T21</f>
        <v>1.1883543044852627</v>
      </c>
    </row>
    <row r="22" spans="1:22" x14ac:dyDescent="0.2">
      <c r="J22" s="141" t="s">
        <v>171</v>
      </c>
    </row>
  </sheetData>
  <mergeCells count="31">
    <mergeCell ref="H17:H18"/>
    <mergeCell ref="A1:I1"/>
    <mergeCell ref="B3:F3"/>
    <mergeCell ref="H3:I3"/>
    <mergeCell ref="B4:F4"/>
    <mergeCell ref="H4:I4"/>
    <mergeCell ref="A5:A6"/>
    <mergeCell ref="B5:B6"/>
    <mergeCell ref="C5:F6"/>
    <mergeCell ref="C7:F7"/>
    <mergeCell ref="C8:F8"/>
    <mergeCell ref="C9:F9"/>
    <mergeCell ref="C10:F10"/>
    <mergeCell ref="A16:B21"/>
    <mergeCell ref="N16:O21"/>
    <mergeCell ref="U17:U18"/>
    <mergeCell ref="I17:I18"/>
    <mergeCell ref="J1:K2"/>
    <mergeCell ref="N1:V1"/>
    <mergeCell ref="O3:S3"/>
    <mergeCell ref="U3:V3"/>
    <mergeCell ref="O4:S4"/>
    <mergeCell ref="U4:V4"/>
    <mergeCell ref="N5:N6"/>
    <mergeCell ref="O5:O6"/>
    <mergeCell ref="P5:S6"/>
    <mergeCell ref="V17:V18"/>
    <mergeCell ref="P7:S7"/>
    <mergeCell ref="P8:S8"/>
    <mergeCell ref="P9:S9"/>
    <mergeCell ref="P10:S10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DB08-8C38-405F-A88C-8C1968683F63}">
  <dimension ref="A1:M22"/>
  <sheetViews>
    <sheetView tabSelected="1" workbookViewId="0">
      <selection activeCell="L20" sqref="L20"/>
    </sheetView>
  </sheetViews>
  <sheetFormatPr defaultRowHeight="13.5" x14ac:dyDescent="0.15"/>
  <cols>
    <col min="1" max="8" width="9" style="215"/>
    <col min="9" max="9" width="12" style="215" customWidth="1"/>
    <col min="10" max="16384" width="9" style="215"/>
  </cols>
  <sheetData>
    <row r="1" spans="1:13" ht="25.5" x14ac:dyDescent="0.15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210" t="s">
        <v>139</v>
      </c>
      <c r="K1" s="170"/>
      <c r="L1" s="244" t="s">
        <v>179</v>
      </c>
      <c r="M1" s="85"/>
    </row>
    <row r="2" spans="1:13" ht="25.5" x14ac:dyDescent="0.15">
      <c r="A2" s="67"/>
      <c r="B2" s="67"/>
      <c r="C2" s="67"/>
      <c r="D2" s="67"/>
      <c r="E2" s="216"/>
      <c r="F2" s="3"/>
      <c r="G2" s="3"/>
      <c r="H2" s="3" t="s">
        <v>1</v>
      </c>
      <c r="I2" s="217" t="s">
        <v>149</v>
      </c>
      <c r="J2" s="170"/>
      <c r="K2" s="170"/>
      <c r="L2" s="244" t="s">
        <v>177</v>
      </c>
      <c r="M2" s="85"/>
    </row>
    <row r="3" spans="1:13" ht="14.25" x14ac:dyDescent="0.15">
      <c r="A3" s="6" t="s">
        <v>3</v>
      </c>
      <c r="B3" s="179" t="s">
        <v>116</v>
      </c>
      <c r="C3" s="218"/>
      <c r="D3" s="218"/>
      <c r="E3" s="218"/>
      <c r="F3" s="219"/>
      <c r="G3" s="46" t="s">
        <v>4</v>
      </c>
      <c r="H3" s="182">
        <v>45211</v>
      </c>
      <c r="I3" s="183"/>
      <c r="J3" s="85" t="s">
        <v>65</v>
      </c>
      <c r="K3" s="85"/>
      <c r="L3" s="1"/>
      <c r="M3" s="85"/>
    </row>
    <row r="4" spans="1:13" ht="14.25" x14ac:dyDescent="0.15">
      <c r="A4" s="6" t="s">
        <v>5</v>
      </c>
      <c r="B4" s="220" t="s">
        <v>150</v>
      </c>
      <c r="C4" s="221"/>
      <c r="D4" s="221"/>
      <c r="E4" s="221"/>
      <c r="F4" s="222"/>
      <c r="G4" s="6" t="s">
        <v>7</v>
      </c>
      <c r="H4" s="223" t="s">
        <v>151</v>
      </c>
      <c r="I4" s="223"/>
      <c r="J4" s="215" t="s">
        <v>178</v>
      </c>
    </row>
    <row r="5" spans="1:13" ht="14.25" x14ac:dyDescent="0.15">
      <c r="A5" s="150" t="s">
        <v>9</v>
      </c>
      <c r="B5" s="151" t="s">
        <v>10</v>
      </c>
      <c r="C5" s="152" t="s">
        <v>11</v>
      </c>
      <c r="D5" s="152"/>
      <c r="E5" s="152"/>
      <c r="F5" s="152"/>
      <c r="G5" s="6" t="s">
        <v>12</v>
      </c>
      <c r="H5" s="6" t="s">
        <v>13</v>
      </c>
      <c r="I5" s="6" t="s">
        <v>14</v>
      </c>
      <c r="J5" s="242"/>
      <c r="K5" s="241"/>
    </row>
    <row r="6" spans="1:13" ht="14.25" x14ac:dyDescent="0.15">
      <c r="A6" s="150"/>
      <c r="B6" s="150"/>
      <c r="C6" s="152"/>
      <c r="D6" s="152"/>
      <c r="E6" s="152"/>
      <c r="F6" s="152"/>
      <c r="G6" s="6" t="s">
        <v>15</v>
      </c>
      <c r="H6" s="6" t="s">
        <v>16</v>
      </c>
      <c r="I6" s="6" t="s">
        <v>17</v>
      </c>
    </row>
    <row r="7" spans="1:13" ht="14.25" x14ac:dyDescent="0.15">
      <c r="A7" s="46">
        <v>1</v>
      </c>
      <c r="B7" s="224" t="s">
        <v>19</v>
      </c>
      <c r="C7" s="225" t="s">
        <v>152</v>
      </c>
      <c r="D7" s="226"/>
      <c r="E7" s="226"/>
      <c r="F7" s="227"/>
      <c r="G7" s="48">
        <f>0.158^2*41*0.7854*8.89/10*5*1.015*1.015</f>
        <v>3.681228514415229</v>
      </c>
      <c r="H7" s="63">
        <f>(J7+1055)/1.13/1000+5.86</f>
        <v>95.289203539823021</v>
      </c>
      <c r="I7" s="11">
        <f>G7*H7</f>
        <v>350.78133318671308</v>
      </c>
      <c r="J7" s="215">
        <v>100000</v>
      </c>
    </row>
    <row r="8" spans="1:13" ht="14.25" x14ac:dyDescent="0.15">
      <c r="A8" s="46">
        <v>2</v>
      </c>
      <c r="B8" s="224" t="s">
        <v>21</v>
      </c>
      <c r="C8" s="225" t="s">
        <v>153</v>
      </c>
      <c r="D8" s="226"/>
      <c r="E8" s="226"/>
      <c r="F8" s="227"/>
      <c r="G8" s="48">
        <f>(2.35^2-1.16^2*0.85)*0.7854*1.48/10*5*1.015</f>
        <v>2.5830797656355999</v>
      </c>
      <c r="H8" s="245">
        <f>7.7+0.5</f>
        <v>8.1999999999999993</v>
      </c>
      <c r="I8" s="11">
        <f>G8*H8</f>
        <v>21.181254078211918</v>
      </c>
    </row>
    <row r="9" spans="1:13" ht="14.25" x14ac:dyDescent="0.15">
      <c r="A9" s="46">
        <v>3</v>
      </c>
      <c r="B9" s="224" t="s">
        <v>121</v>
      </c>
      <c r="C9" s="225" t="s">
        <v>173</v>
      </c>
      <c r="D9" s="226"/>
      <c r="E9" s="226"/>
      <c r="F9" s="227"/>
      <c r="G9" s="48">
        <f>3.67/10</f>
        <v>0.36699999999999999</v>
      </c>
      <c r="H9" s="247">
        <v>20</v>
      </c>
      <c r="I9" s="11">
        <f>G9*H9</f>
        <v>7.34</v>
      </c>
    </row>
    <row r="10" spans="1:13" ht="14.25" x14ac:dyDescent="0.15">
      <c r="A10" s="46">
        <v>4</v>
      </c>
      <c r="B10" s="46" t="s">
        <v>23</v>
      </c>
      <c r="C10" s="225" t="s">
        <v>155</v>
      </c>
      <c r="D10" s="226"/>
      <c r="E10" s="226"/>
      <c r="F10" s="227"/>
      <c r="G10" s="48">
        <f>(8.4^2-6.35^2*0.85)*0.7854*1.47/10</f>
        <v>4.1893421550749999</v>
      </c>
      <c r="H10" s="246">
        <f>5.16+0.5</f>
        <v>5.66</v>
      </c>
      <c r="I10" s="11">
        <f>G10*H10</f>
        <v>23.711676597724498</v>
      </c>
    </row>
    <row r="11" spans="1:13" ht="14.25" x14ac:dyDescent="0.15">
      <c r="A11" s="12" t="s">
        <v>25</v>
      </c>
      <c r="B11" s="13">
        <f>I11/100</f>
        <v>4.0301426386264945</v>
      </c>
      <c r="C11" s="228" t="s">
        <v>26</v>
      </c>
      <c r="D11" s="228"/>
      <c r="E11" s="228"/>
      <c r="F11" s="228"/>
      <c r="G11" s="14">
        <f>SUM(G7:G10)/100</f>
        <v>0.10820650435125828</v>
      </c>
      <c r="H11" s="15" t="s">
        <v>27</v>
      </c>
      <c r="I11" s="16">
        <f>SUM(I7:I10)</f>
        <v>403.01426386264944</v>
      </c>
      <c r="J11" s="56">
        <f>B11*1.13/I22</f>
        <v>0.71581009696872044</v>
      </c>
      <c r="K11" s="57">
        <f>G11*G20</f>
        <v>541.03252175629143</v>
      </c>
    </row>
    <row r="12" spans="1:13" ht="36" x14ac:dyDescent="0.15">
      <c r="A12" s="17" t="s">
        <v>10</v>
      </c>
      <c r="B12" s="18" t="s">
        <v>28</v>
      </c>
      <c r="C12" s="17" t="s">
        <v>174</v>
      </c>
      <c r="D12" s="17" t="s">
        <v>30</v>
      </c>
      <c r="E12" s="17" t="s">
        <v>31</v>
      </c>
      <c r="F12" s="18" t="s">
        <v>32</v>
      </c>
      <c r="G12" s="18" t="s">
        <v>33</v>
      </c>
      <c r="H12" s="19" t="s">
        <v>34</v>
      </c>
      <c r="I12" s="17" t="s">
        <v>35</v>
      </c>
    </row>
    <row r="13" spans="1:13" ht="14.25" x14ac:dyDescent="0.15">
      <c r="A13" s="46" t="s">
        <v>19</v>
      </c>
      <c r="B13" s="229">
        <f>0.24*5</f>
        <v>1.2</v>
      </c>
      <c r="C13" s="230">
        <v>0</v>
      </c>
      <c r="D13" s="231">
        <v>10</v>
      </c>
      <c r="E13" s="232">
        <f>B13*D13*G20/1000+C13*D13*G18</f>
        <v>60</v>
      </c>
      <c r="F13" s="233">
        <v>1</v>
      </c>
      <c r="G13" s="234">
        <v>0</v>
      </c>
      <c r="H13" s="231">
        <f>F13*I7</f>
        <v>350.78133318671308</v>
      </c>
      <c r="I13" s="231">
        <f>E13+H13*G18</f>
        <v>410.78133318671308</v>
      </c>
    </row>
    <row r="14" spans="1:13" ht="14.25" x14ac:dyDescent="0.15">
      <c r="A14" s="46" t="s">
        <v>21</v>
      </c>
      <c r="B14" s="229">
        <f>1000/60/150*5</f>
        <v>0.55555555555555558</v>
      </c>
      <c r="C14" s="230">
        <v>0</v>
      </c>
      <c r="D14" s="231">
        <v>120</v>
      </c>
      <c r="E14" s="232">
        <f>B14*D14*G20/1000+C14*D14*G18</f>
        <v>333.33333333333337</v>
      </c>
      <c r="F14" s="233">
        <v>1.5</v>
      </c>
      <c r="G14" s="233">
        <v>2</v>
      </c>
      <c r="H14" s="231">
        <f>F14*(I8+I7)+G14*H8</f>
        <v>574.34388089738752</v>
      </c>
      <c r="I14" s="231">
        <f>E14+H14*G18</f>
        <v>907.67721423072089</v>
      </c>
    </row>
    <row r="15" spans="1:13" ht="14.25" x14ac:dyDescent="0.15">
      <c r="A15" s="46" t="s">
        <v>36</v>
      </c>
      <c r="B15" s="229">
        <f>1000/60/30</f>
        <v>0.55555555555555558</v>
      </c>
      <c r="C15" s="230">
        <v>0</v>
      </c>
      <c r="D15" s="231">
        <v>40</v>
      </c>
      <c r="E15" s="232">
        <f>B15*D15*G20/1000+C15*D15*G18</f>
        <v>111.11111111111111</v>
      </c>
      <c r="F15" s="233">
        <v>0.2</v>
      </c>
      <c r="G15" s="233">
        <v>0</v>
      </c>
      <c r="H15" s="231">
        <f>F15*(I8+I7+I9)</f>
        <v>75.860517452984993</v>
      </c>
      <c r="I15" s="231">
        <f>E15+H15*G18</f>
        <v>186.97162856409611</v>
      </c>
    </row>
    <row r="16" spans="1:13" ht="14.25" x14ac:dyDescent="0.15">
      <c r="A16" s="46" t="s">
        <v>23</v>
      </c>
      <c r="B16" s="229">
        <f>1000/60/40</f>
        <v>0.41666666666666669</v>
      </c>
      <c r="C16" s="230">
        <v>0</v>
      </c>
      <c r="D16" s="231">
        <v>150</v>
      </c>
      <c r="E16" s="232">
        <f>B16*D16*G20/1000+C16*D16*G18</f>
        <v>312.5</v>
      </c>
      <c r="F16" s="233">
        <v>1</v>
      </c>
      <c r="G16" s="233">
        <v>10</v>
      </c>
      <c r="H16" s="231">
        <f>F16*I11+G16*H10</f>
        <v>459.61426386264947</v>
      </c>
      <c r="I16" s="231">
        <f>E16+H16*G18</f>
        <v>772.11426386264952</v>
      </c>
    </row>
    <row r="17" spans="1:9" ht="24" x14ac:dyDescent="0.15">
      <c r="A17" s="157" t="s">
        <v>37</v>
      </c>
      <c r="B17" s="158"/>
      <c r="C17" s="28" t="s">
        <v>38</v>
      </c>
      <c r="D17" s="28" t="s">
        <v>39</v>
      </c>
      <c r="E17" s="28" t="s">
        <v>40</v>
      </c>
      <c r="F17" s="29" t="s">
        <v>175</v>
      </c>
      <c r="G17" s="30" t="s">
        <v>42</v>
      </c>
      <c r="H17" s="31" t="s">
        <v>43</v>
      </c>
      <c r="I17" s="32">
        <f>SUM(I13:I16)</f>
        <v>2277.5444398441796</v>
      </c>
    </row>
    <row r="18" spans="1:9" ht="14.25" x14ac:dyDescent="0.15">
      <c r="A18" s="159"/>
      <c r="B18" s="160"/>
      <c r="C18" s="58">
        <v>2.5000000000000001E-3</v>
      </c>
      <c r="D18" s="58">
        <v>0.85</v>
      </c>
      <c r="E18" s="235">
        <v>0.1</v>
      </c>
      <c r="F18" s="236">
        <v>0.03</v>
      </c>
      <c r="G18" s="237">
        <v>1</v>
      </c>
      <c r="H18" s="163" t="s">
        <v>44</v>
      </c>
      <c r="I18" s="143" t="s">
        <v>176</v>
      </c>
    </row>
    <row r="19" spans="1:9" ht="24" x14ac:dyDescent="0.15">
      <c r="A19" s="159"/>
      <c r="B19" s="160"/>
      <c r="C19" s="30" t="s">
        <v>37</v>
      </c>
      <c r="D19" s="36" t="s">
        <v>46</v>
      </c>
      <c r="E19" s="28" t="s">
        <v>47</v>
      </c>
      <c r="F19" s="31" t="s">
        <v>48</v>
      </c>
      <c r="G19" s="37" t="s">
        <v>49</v>
      </c>
      <c r="H19" s="163"/>
      <c r="I19" s="238"/>
    </row>
    <row r="20" spans="1:9" ht="18.75" x14ac:dyDescent="0.15">
      <c r="A20" s="159"/>
      <c r="B20" s="160"/>
      <c r="C20" s="76">
        <f>200</f>
        <v>200</v>
      </c>
      <c r="D20" s="77">
        <v>0.12</v>
      </c>
      <c r="E20" s="239">
        <v>0</v>
      </c>
      <c r="F20" s="59">
        <v>0.13</v>
      </c>
      <c r="G20" s="243">
        <v>5000</v>
      </c>
      <c r="H20" s="39">
        <f>I17/G20+B11+B11*F18</f>
        <v>4.6065558057541258</v>
      </c>
      <c r="I20" s="65">
        <f>(H20/(1-D20)+C18+E18+E20/G20+C20/G20+C22*D22+D18*G11)*(1+F20)*(1+E22+F22)</f>
        <v>6.2543561051760221</v>
      </c>
    </row>
    <row r="21" spans="1:9" x14ac:dyDescent="0.15">
      <c r="A21" s="159"/>
      <c r="B21" s="160"/>
      <c r="C21" s="29" t="s">
        <v>50</v>
      </c>
      <c r="D21" s="29" t="s">
        <v>51</v>
      </c>
      <c r="E21" s="60" t="s">
        <v>52</v>
      </c>
      <c r="F21" s="60" t="s">
        <v>53</v>
      </c>
      <c r="G21" s="60" t="s">
        <v>54</v>
      </c>
      <c r="H21" s="40" t="s">
        <v>55</v>
      </c>
      <c r="I21" s="66" t="s">
        <v>56</v>
      </c>
    </row>
    <row r="22" spans="1:9" ht="18.75" x14ac:dyDescent="0.15">
      <c r="A22" s="161"/>
      <c r="B22" s="162"/>
      <c r="C22" s="240">
        <v>0</v>
      </c>
      <c r="D22" s="42">
        <v>0</v>
      </c>
      <c r="E22" s="61">
        <v>7.0000000000000001E-3</v>
      </c>
      <c r="F22" s="61">
        <v>5.0000000000000001E-3</v>
      </c>
      <c r="G22" s="62">
        <v>0.15</v>
      </c>
      <c r="H22" s="39">
        <f>(H20+C18+E18+E20/G20+C20/G20+C22*D22+D18*G11)*(1+F20)*(1+E22+F22)</f>
        <v>5.5360097928267233</v>
      </c>
      <c r="I22" s="65">
        <f>I20+(I20-H22)*G22</f>
        <v>6.3621080520284172</v>
      </c>
    </row>
  </sheetData>
  <mergeCells count="17">
    <mergeCell ref="H18:H19"/>
    <mergeCell ref="I18:I19"/>
    <mergeCell ref="J1:K2"/>
    <mergeCell ref="C7:F7"/>
    <mergeCell ref="C8:F8"/>
    <mergeCell ref="C9:F9"/>
    <mergeCell ref="C10:F10"/>
    <mergeCell ref="C11:F11"/>
    <mergeCell ref="A17:B22"/>
    <mergeCell ref="A1:I1"/>
    <mergeCell ref="B3:F3"/>
    <mergeCell ref="H3:I3"/>
    <mergeCell ref="B4:F4"/>
    <mergeCell ref="H4:I4"/>
    <mergeCell ref="A5:A6"/>
    <mergeCell ref="B5:B6"/>
    <mergeCell ref="C5:F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23.07.26</vt:lpstr>
      <vt:lpstr>23.08.05</vt:lpstr>
      <vt:lpstr>23.08.12</vt:lpstr>
      <vt:lpstr>23.08.15</vt:lpstr>
      <vt:lpstr>23.09.04</vt:lpstr>
      <vt:lpstr>24.1.24</vt:lpstr>
      <vt:lpstr>24.12.20</vt:lpstr>
      <vt:lpstr>25.2.28东莞弘皓</vt:lpstr>
      <vt:lpstr>25.6.23东莞弘皓</vt:lpstr>
      <vt:lpstr>25.7.7东莞弘皓</vt:lpstr>
      <vt:lpstr>25.8.18东莞弘皓</vt:lpstr>
      <vt:lpstr>26.1.9东莞弘皓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2026-01-09T03:47:57Z</dcterms:modified>
</cp:coreProperties>
</file>