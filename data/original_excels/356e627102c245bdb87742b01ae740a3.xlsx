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G253100\Desktop\"/>
    </mc:Choice>
  </mc:AlternateContent>
  <xr:revisionPtr revIDLastSave="0" documentId="13_ncr:1_{9851C7A6-4A73-467D-91F8-A3F9DF75004C}" xr6:coauthVersionLast="47" xr6:coauthVersionMax="47" xr10:uidLastSave="{00000000-0000-0000-0000-000000000000}"/>
  <bookViews>
    <workbookView xWindow="-120" yWindow="-120" windowWidth="29040" windowHeight="15840" tabRatio="870" xr2:uid="{00000000-000D-0000-FFFF-FFFF00000000}"/>
  </bookViews>
  <sheets>
    <sheet name="26.4.23" sheetId="175" r:id="rId1"/>
    <sheet name="26.4.24武汉" sheetId="176" r:id="rId2"/>
    <sheet name="26.4.28柳州" sheetId="188" r:id="rId3"/>
    <sheet name="26.4.30武汉" sheetId="191" r:id="rId4"/>
    <sheet name="26.5.7武汉" sheetId="192" r:id="rId5"/>
    <sheet name="26.5.9柳州" sheetId="193" r:id="rId6"/>
  </sheets>
  <externalReferences>
    <externalReference r:id="rId7"/>
  </externalReferences>
  <calcPr calcId="191029"/>
</workbook>
</file>

<file path=xl/calcChain.xml><?xml version="1.0" encoding="utf-8"?>
<calcChain xmlns="http://schemas.openxmlformats.org/spreadsheetml/2006/main">
  <c r="G27" i="193" l="1"/>
  <c r="I27" i="193" s="1"/>
  <c r="J27" i="193" s="1"/>
  <c r="P27" i="193" s="1"/>
  <c r="Q27" i="193" s="1"/>
  <c r="R25" i="193"/>
  <c r="Q25" i="193"/>
  <c r="F25" i="193"/>
  <c r="E25" i="193"/>
  <c r="O23" i="193"/>
  <c r="C23" i="193"/>
  <c r="N19" i="193"/>
  <c r="Q19" i="193" s="1"/>
  <c r="E19" i="193"/>
  <c r="B19" i="193"/>
  <c r="Q18" i="193"/>
  <c r="N18" i="193"/>
  <c r="B18" i="193"/>
  <c r="E18" i="193" s="1"/>
  <c r="Q17" i="193"/>
  <c r="N17" i="193"/>
  <c r="E17" i="193"/>
  <c r="B17" i="193"/>
  <c r="N16" i="193"/>
  <c r="Q16" i="193" s="1"/>
  <c r="E16" i="193"/>
  <c r="B16" i="193"/>
  <c r="Q15" i="193"/>
  <c r="N15" i="193"/>
  <c r="B15" i="193"/>
  <c r="E15" i="193" s="1"/>
  <c r="Q14" i="193"/>
  <c r="N14" i="193"/>
  <c r="E14" i="193"/>
  <c r="B14" i="193"/>
  <c r="W11" i="193"/>
  <c r="T11" i="193"/>
  <c r="S11" i="193"/>
  <c r="U11" i="193" s="1"/>
  <c r="L11" i="193"/>
  <c r="K11" i="193"/>
  <c r="H11" i="193"/>
  <c r="I11" i="193" s="1"/>
  <c r="G11" i="193"/>
  <c r="W10" i="193"/>
  <c r="U10" i="193"/>
  <c r="S10" i="193"/>
  <c r="K10" i="193"/>
  <c r="I10" i="193"/>
  <c r="G10" i="193"/>
  <c r="L10" i="193" s="1"/>
  <c r="W9" i="193"/>
  <c r="U9" i="193"/>
  <c r="T9" i="193"/>
  <c r="S9" i="193"/>
  <c r="K9" i="193"/>
  <c r="H9" i="193"/>
  <c r="G9" i="193"/>
  <c r="L9" i="193" s="1"/>
  <c r="W8" i="193"/>
  <c r="T8" i="193"/>
  <c r="S8" i="193"/>
  <c r="U8" i="193" s="1"/>
  <c r="L8" i="193"/>
  <c r="K8" i="193"/>
  <c r="H8" i="193"/>
  <c r="G8" i="193"/>
  <c r="I8" i="193" s="1"/>
  <c r="W7" i="193"/>
  <c r="T7" i="193"/>
  <c r="S7" i="193"/>
  <c r="S12" i="193" s="1"/>
  <c r="L7" i="193"/>
  <c r="K7" i="193"/>
  <c r="H7" i="193"/>
  <c r="I7" i="193" s="1"/>
  <c r="G7" i="193"/>
  <c r="G12" i="193" s="1"/>
  <c r="H16" i="193" l="1"/>
  <c r="H15" i="193"/>
  <c r="I15" i="193" s="1"/>
  <c r="H14" i="193"/>
  <c r="I14" i="193" s="1"/>
  <c r="I16" i="193"/>
  <c r="U7" i="193"/>
  <c r="I9" i="193"/>
  <c r="I12" i="193" s="1"/>
  <c r="B12" i="193" s="1"/>
  <c r="H19" i="193"/>
  <c r="I19" i="193" s="1"/>
  <c r="H18" i="193" l="1"/>
  <c r="I18" i="193" s="1"/>
  <c r="T19" i="193"/>
  <c r="U19" i="193" s="1"/>
  <c r="T17" i="193"/>
  <c r="U17" i="193" s="1"/>
  <c r="T14" i="193"/>
  <c r="U14" i="193" s="1"/>
  <c r="U12" i="193"/>
  <c r="N12" i="193" s="1"/>
  <c r="T18" i="193"/>
  <c r="U18" i="193" s="1"/>
  <c r="T15" i="193"/>
  <c r="U15" i="193" s="1"/>
  <c r="T16" i="193"/>
  <c r="U16" i="193" s="1"/>
  <c r="H17" i="193"/>
  <c r="I17" i="193" s="1"/>
  <c r="I20" i="193" s="1"/>
  <c r="H23" i="193" s="1"/>
  <c r="H25" i="193" l="1"/>
  <c r="I23" i="193"/>
  <c r="I25" i="193" s="1"/>
  <c r="U20" i="193"/>
  <c r="T23" i="193" s="1"/>
  <c r="U23" i="193" l="1"/>
  <c r="T25" i="193"/>
  <c r="K25" i="193"/>
  <c r="J12" i="193"/>
  <c r="U25" i="193" l="1"/>
  <c r="W25" i="193" l="1"/>
  <c r="V12" i="193"/>
  <c r="K19" i="192" l="1"/>
  <c r="K61" i="192"/>
  <c r="K59" i="192"/>
  <c r="K42" i="192"/>
  <c r="K40" i="192"/>
  <c r="H7" i="192"/>
  <c r="E104" i="193"/>
  <c r="E77" i="193"/>
  <c r="E51" i="193"/>
  <c r="J53" i="193"/>
  <c r="G53" i="193"/>
  <c r="L53" i="193" s="1"/>
  <c r="M53" i="193" s="1"/>
  <c r="S53" i="193" s="1"/>
  <c r="T53" i="193" s="1"/>
  <c r="R51" i="193"/>
  <c r="Q51" i="193"/>
  <c r="O49" i="193"/>
  <c r="Q47" i="193"/>
  <c r="N45" i="193"/>
  <c r="Q45" i="193" s="1"/>
  <c r="N44" i="193"/>
  <c r="Q44" i="193" s="1"/>
  <c r="Q43" i="193"/>
  <c r="Q42" i="193"/>
  <c r="N42" i="193"/>
  <c r="N41" i="193"/>
  <c r="Q41" i="193" s="1"/>
  <c r="U38" i="193"/>
  <c r="S38" i="193"/>
  <c r="S37" i="193"/>
  <c r="U37" i="193" s="1"/>
  <c r="T36" i="193"/>
  <c r="S36" i="193"/>
  <c r="S35" i="193"/>
  <c r="U35" i="193" s="1"/>
  <c r="T34" i="193"/>
  <c r="S34" i="193"/>
  <c r="L35" i="193"/>
  <c r="L36" i="193"/>
  <c r="L37" i="193"/>
  <c r="L38" i="193"/>
  <c r="L34" i="193"/>
  <c r="H62" i="193"/>
  <c r="H36" i="193"/>
  <c r="Y108" i="193"/>
  <c r="X108" i="193"/>
  <c r="Q108" i="193"/>
  <c r="H108" i="193"/>
  <c r="R108" i="193" s="1"/>
  <c r="E108" i="193"/>
  <c r="P108" i="193" s="1"/>
  <c r="V103" i="193"/>
  <c r="U103" i="193" s="1"/>
  <c r="R103" i="193"/>
  <c r="Q103" i="193"/>
  <c r="O101" i="193"/>
  <c r="N97" i="193"/>
  <c r="Q97" i="193" s="1"/>
  <c r="Q96" i="193"/>
  <c r="Q95" i="193"/>
  <c r="Q94" i="193"/>
  <c r="N93" i="193"/>
  <c r="Q93" i="193" s="1"/>
  <c r="N92" i="193"/>
  <c r="Q92" i="193" s="1"/>
  <c r="S89" i="193"/>
  <c r="U89" i="193" s="1"/>
  <c r="S88" i="193"/>
  <c r="U88" i="193" s="1"/>
  <c r="T87" i="193"/>
  <c r="S87" i="193"/>
  <c r="S86" i="193"/>
  <c r="U86" i="193" s="1"/>
  <c r="S85" i="193"/>
  <c r="U85" i="193" s="1"/>
  <c r="T84" i="193"/>
  <c r="S84" i="193"/>
  <c r="K106" i="193"/>
  <c r="H88" i="193"/>
  <c r="H84" i="193"/>
  <c r="H60" i="193"/>
  <c r="H34" i="193"/>
  <c r="F104" i="193"/>
  <c r="F77" i="193"/>
  <c r="C102" i="193"/>
  <c r="C75" i="193"/>
  <c r="C49" i="193"/>
  <c r="F51" i="193"/>
  <c r="B98" i="193"/>
  <c r="E98" i="193" s="1"/>
  <c r="B97" i="193"/>
  <c r="E97" i="193" s="1"/>
  <c r="B96" i="193"/>
  <c r="E96" i="193" s="1"/>
  <c r="B95" i="193"/>
  <c r="E95" i="193" s="1"/>
  <c r="B94" i="193"/>
  <c r="E94" i="193" s="1"/>
  <c r="B93" i="193"/>
  <c r="E93" i="193" s="1"/>
  <c r="G90" i="193"/>
  <c r="I90" i="193" s="1"/>
  <c r="G89" i="193"/>
  <c r="I89" i="193" s="1"/>
  <c r="G88" i="193"/>
  <c r="G87" i="193"/>
  <c r="I87" i="193" s="1"/>
  <c r="G86" i="193"/>
  <c r="G85" i="193"/>
  <c r="I85" i="193" s="1"/>
  <c r="G84" i="193"/>
  <c r="K84" i="193" s="1"/>
  <c r="B71" i="193"/>
  <c r="E71" i="193" s="1"/>
  <c r="B70" i="193"/>
  <c r="E70" i="193" s="1"/>
  <c r="E69" i="193"/>
  <c r="B68" i="193"/>
  <c r="E68" i="193" s="1"/>
  <c r="B67" i="193"/>
  <c r="E67" i="193" s="1"/>
  <c r="G64" i="193"/>
  <c r="I64" i="193" s="1"/>
  <c r="G63" i="193"/>
  <c r="I63" i="193" s="1"/>
  <c r="G62" i="193"/>
  <c r="L60" i="193" s="1"/>
  <c r="G61" i="193"/>
  <c r="I61" i="193" s="1"/>
  <c r="G60" i="193"/>
  <c r="K60" i="193" s="1"/>
  <c r="B45" i="193"/>
  <c r="E45" i="193" s="1"/>
  <c r="B44" i="193"/>
  <c r="E44" i="193" s="1"/>
  <c r="E43" i="193"/>
  <c r="B42" i="193"/>
  <c r="E42" i="193" s="1"/>
  <c r="B41" i="193"/>
  <c r="E41" i="193" s="1"/>
  <c r="G38" i="193"/>
  <c r="I38" i="193" s="1"/>
  <c r="G37" i="193"/>
  <c r="I37" i="193" s="1"/>
  <c r="G36" i="193"/>
  <c r="G35" i="193"/>
  <c r="I35" i="193" s="1"/>
  <c r="G34" i="193"/>
  <c r="E61" i="192"/>
  <c r="E42" i="192"/>
  <c r="E19" i="192"/>
  <c r="R19" i="192"/>
  <c r="Q19" i="192"/>
  <c r="V17" i="192"/>
  <c r="O17" i="192"/>
  <c r="Q13" i="192"/>
  <c r="U13" i="192" s="1"/>
  <c r="N13" i="192"/>
  <c r="N12" i="192"/>
  <c r="Q12" i="192" s="1"/>
  <c r="Q11" i="192"/>
  <c r="S9" i="192"/>
  <c r="U8" i="192"/>
  <c r="S8" i="192"/>
  <c r="T7" i="192"/>
  <c r="S7" i="192"/>
  <c r="U7" i="192" s="1"/>
  <c r="G23" i="192"/>
  <c r="I23" i="192" s="1"/>
  <c r="J23" i="192" s="1"/>
  <c r="O23" i="192" s="1"/>
  <c r="G22" i="192"/>
  <c r="I22" i="192" s="1"/>
  <c r="J22" i="192" s="1"/>
  <c r="Q22" i="192" s="1"/>
  <c r="R22" i="192" s="1"/>
  <c r="G21" i="192"/>
  <c r="I21" i="192" s="1"/>
  <c r="J21" i="192" s="1"/>
  <c r="Q21" i="192" s="1"/>
  <c r="R21" i="192" s="1"/>
  <c r="H30" i="192"/>
  <c r="H51" i="192"/>
  <c r="H49" i="192"/>
  <c r="F61" i="192"/>
  <c r="F42" i="192"/>
  <c r="C59" i="192"/>
  <c r="C40" i="192"/>
  <c r="F19" i="192"/>
  <c r="C17" i="192"/>
  <c r="B55" i="192"/>
  <c r="E55" i="192" s="1"/>
  <c r="E54" i="192"/>
  <c r="G50" i="192"/>
  <c r="G51" i="192" s="1"/>
  <c r="G49" i="192"/>
  <c r="W34" i="193" l="1"/>
  <c r="U36" i="193"/>
  <c r="I84" i="193"/>
  <c r="H93" i="193" s="1"/>
  <c r="I93" i="193" s="1"/>
  <c r="I62" i="193"/>
  <c r="I36" i="193"/>
  <c r="U34" i="193"/>
  <c r="S39" i="193"/>
  <c r="U87" i="193"/>
  <c r="U90" i="193" s="1"/>
  <c r="U84" i="193"/>
  <c r="W108" i="193"/>
  <c r="T93" i="193"/>
  <c r="U93" i="193" s="1"/>
  <c r="T92" i="193"/>
  <c r="G91" i="193"/>
  <c r="I86" i="193"/>
  <c r="U92" i="193"/>
  <c r="G39" i="193"/>
  <c r="G65" i="193"/>
  <c r="I60" i="193"/>
  <c r="I65" i="193" s="1"/>
  <c r="I108" i="193"/>
  <c r="J108" i="193" s="1"/>
  <c r="T94" i="193"/>
  <c r="U94" i="193" s="1"/>
  <c r="Z108" i="193"/>
  <c r="S90" i="193"/>
  <c r="I88" i="193"/>
  <c r="I34" i="193"/>
  <c r="Q23" i="192"/>
  <c r="R23" i="192" s="1"/>
  <c r="O22" i="192"/>
  <c r="O21" i="192"/>
  <c r="T11" i="192"/>
  <c r="U11" i="192" s="1"/>
  <c r="U9" i="192"/>
  <c r="I49" i="192"/>
  <c r="H54" i="192" s="1"/>
  <c r="I54" i="192" s="1"/>
  <c r="G52" i="192"/>
  <c r="I51" i="192"/>
  <c r="I50" i="192"/>
  <c r="I52" i="192" s="1"/>
  <c r="H95" i="193" l="1"/>
  <c r="I95" i="193" s="1"/>
  <c r="I91" i="193"/>
  <c r="H96" i="193" s="1"/>
  <c r="I96" i="193" s="1"/>
  <c r="H94" i="193"/>
  <c r="I94" i="193" s="1"/>
  <c r="T41" i="193"/>
  <c r="U41" i="193" s="1"/>
  <c r="U39" i="193"/>
  <c r="T42" i="193"/>
  <c r="U42" i="193" s="1"/>
  <c r="H67" i="193"/>
  <c r="I67" i="193" s="1"/>
  <c r="H68" i="193"/>
  <c r="I68" i="193" s="1"/>
  <c r="AA108" i="193"/>
  <c r="S108" i="193"/>
  <c r="AB108" i="193"/>
  <c r="K108" i="193"/>
  <c r="T108" i="193"/>
  <c r="T96" i="193"/>
  <c r="U96" i="193" s="1"/>
  <c r="T95" i="193"/>
  <c r="U95" i="193" s="1"/>
  <c r="N90" i="193"/>
  <c r="V90" i="193" s="1"/>
  <c r="T97" i="193"/>
  <c r="U97" i="193" s="1"/>
  <c r="B91" i="193"/>
  <c r="H98" i="193"/>
  <c r="I98" i="193" s="1"/>
  <c r="H97" i="193"/>
  <c r="I97" i="193" s="1"/>
  <c r="H69" i="193"/>
  <c r="I69" i="193" s="1"/>
  <c r="B65" i="193"/>
  <c r="H71" i="193"/>
  <c r="I71" i="193" s="1"/>
  <c r="H70" i="193"/>
  <c r="I70" i="193" s="1"/>
  <c r="I39" i="193"/>
  <c r="H42" i="193"/>
  <c r="I42" i="193" s="1"/>
  <c r="H41" i="193"/>
  <c r="I41" i="193" s="1"/>
  <c r="T12" i="192"/>
  <c r="U12" i="192" s="1"/>
  <c r="U14" i="192" s="1"/>
  <c r="T17" i="192" s="1"/>
  <c r="N9" i="192"/>
  <c r="B52" i="192"/>
  <c r="H55" i="192"/>
  <c r="I55" i="192" s="1"/>
  <c r="I56" i="192" s="1"/>
  <c r="H59" i="192" s="1"/>
  <c r="T44" i="193" l="1"/>
  <c r="U44" i="193" s="1"/>
  <c r="T43" i="193"/>
  <c r="U43" i="193" s="1"/>
  <c r="N39" i="193"/>
  <c r="T45" i="193"/>
  <c r="U45" i="193" s="1"/>
  <c r="U46" i="193"/>
  <c r="T49" i="193" s="1"/>
  <c r="U98" i="193"/>
  <c r="T101" i="193" s="1"/>
  <c r="T103" i="193" s="1"/>
  <c r="P101" i="193" s="1"/>
  <c r="U101" i="193" s="1"/>
  <c r="AC108" i="193"/>
  <c r="L108" i="193"/>
  <c r="N109" i="193" s="1"/>
  <c r="U108" i="193"/>
  <c r="I99" i="193"/>
  <c r="H102" i="193" s="1"/>
  <c r="H104" i="193" s="1"/>
  <c r="I72" i="193"/>
  <c r="H75" i="193" s="1"/>
  <c r="H77" i="193" s="1"/>
  <c r="H43" i="193"/>
  <c r="I43" i="193" s="1"/>
  <c r="B39" i="193"/>
  <c r="H45" i="193"/>
  <c r="I45" i="193" s="1"/>
  <c r="H44" i="193"/>
  <c r="I44" i="193" s="1"/>
  <c r="T19" i="192"/>
  <c r="U17" i="192"/>
  <c r="U19" i="192" s="1"/>
  <c r="V19" i="192" s="1"/>
  <c r="H61" i="192"/>
  <c r="I59" i="192"/>
  <c r="U49" i="193" l="1"/>
  <c r="T51" i="193"/>
  <c r="I102" i="193"/>
  <c r="I104" i="193" s="1"/>
  <c r="J91" i="193" s="1"/>
  <c r="AD108" i="193"/>
  <c r="V108" i="193"/>
  <c r="I46" i="193"/>
  <c r="H49" i="193" s="1"/>
  <c r="H51" i="193" s="1"/>
  <c r="I75" i="193"/>
  <c r="I77" i="193" s="1"/>
  <c r="J65" i="193" s="1"/>
  <c r="V9" i="192"/>
  <c r="I61" i="192"/>
  <c r="B36" i="192"/>
  <c r="E36" i="192" s="1"/>
  <c r="B35" i="192"/>
  <c r="E35" i="192" s="1"/>
  <c r="E34" i="192"/>
  <c r="G31" i="192"/>
  <c r="I31" i="192" s="1"/>
  <c r="G30" i="192"/>
  <c r="I30" i="192" s="1"/>
  <c r="U51" i="193" l="1"/>
  <c r="W51" i="193" s="1"/>
  <c r="V39" i="193"/>
  <c r="I49" i="193"/>
  <c r="I51" i="193" s="1"/>
  <c r="J52" i="192"/>
  <c r="G32" i="192"/>
  <c r="H34" i="192"/>
  <c r="I34" i="192" s="1"/>
  <c r="I32" i="192"/>
  <c r="J39" i="193" l="1"/>
  <c r="K51" i="193"/>
  <c r="H36" i="192"/>
  <c r="I36" i="192" s="1"/>
  <c r="B32" i="192"/>
  <c r="H35" i="192"/>
  <c r="I35" i="192" s="1"/>
  <c r="I37" i="192" l="1"/>
  <c r="H40" i="192" s="1"/>
  <c r="H42" i="192" s="1"/>
  <c r="I40" i="192" l="1"/>
  <c r="I42" i="192" s="1"/>
  <c r="B13" i="192"/>
  <c r="E13" i="192" s="1"/>
  <c r="I13" i="192" s="1"/>
  <c r="B12" i="192"/>
  <c r="E12" i="192" s="1"/>
  <c r="E11" i="192"/>
  <c r="G8" i="192"/>
  <c r="I8" i="192" s="1"/>
  <c r="G7" i="192"/>
  <c r="G9" i="192" s="1"/>
  <c r="J32" i="192" l="1"/>
  <c r="I7" i="192"/>
  <c r="I9" i="192" l="1"/>
  <c r="H11" i="192"/>
  <c r="I11" i="192" s="1"/>
  <c r="B9" i="192" l="1"/>
  <c r="H12" i="192"/>
  <c r="I12" i="192" s="1"/>
  <c r="I14" i="192" s="1"/>
  <c r="H17" i="192" s="1"/>
  <c r="H19" i="192" l="1"/>
  <c r="I17" i="192"/>
  <c r="I19" i="192" s="1"/>
  <c r="K17" i="192" l="1"/>
  <c r="J9" i="192"/>
  <c r="F27" i="191"/>
  <c r="I18" i="191"/>
  <c r="J18" i="191"/>
  <c r="C16" i="191"/>
  <c r="G20" i="191"/>
  <c r="I20" i="191" s="1"/>
  <c r="J20" i="191" s="1"/>
  <c r="W18" i="191"/>
  <c r="T18" i="191"/>
  <c r="S18" i="191"/>
  <c r="Q16" i="191"/>
  <c r="P12" i="191"/>
  <c r="S12" i="191" s="1"/>
  <c r="P11" i="191"/>
  <c r="S11" i="191" s="1"/>
  <c r="U8" i="191"/>
  <c r="W8" i="191" s="1"/>
  <c r="V7" i="191"/>
  <c r="U7" i="191"/>
  <c r="H7" i="191"/>
  <c r="F18" i="191"/>
  <c r="E18" i="191"/>
  <c r="B12" i="191"/>
  <c r="E12" i="191" s="1"/>
  <c r="B11" i="191"/>
  <c r="E11" i="191" s="1"/>
  <c r="G9" i="191"/>
  <c r="G8" i="191"/>
  <c r="I8" i="191" s="1"/>
  <c r="G7" i="191"/>
  <c r="I7" i="191" s="1"/>
  <c r="W7" i="191" l="1"/>
  <c r="W9" i="191" s="1"/>
  <c r="P9" i="191" s="1"/>
  <c r="X9" i="191" s="1"/>
  <c r="U9" i="191"/>
  <c r="H12" i="191"/>
  <c r="I12" i="191" s="1"/>
  <c r="I9" i="191"/>
  <c r="B9" i="191" s="1"/>
  <c r="J9" i="191" s="1"/>
  <c r="H11" i="191"/>
  <c r="I11" i="191"/>
  <c r="H11" i="188"/>
  <c r="H9" i="188"/>
  <c r="H8" i="188"/>
  <c r="H7" i="188"/>
  <c r="C23" i="188"/>
  <c r="E25" i="188"/>
  <c r="F25" i="188"/>
  <c r="B19" i="188"/>
  <c r="E19" i="188" s="1"/>
  <c r="B18" i="188"/>
  <c r="E18" i="188" s="1"/>
  <c r="B17" i="188"/>
  <c r="E17" i="188" s="1"/>
  <c r="B16" i="188"/>
  <c r="E16" i="188" s="1"/>
  <c r="B15" i="188"/>
  <c r="E15" i="188" s="1"/>
  <c r="B14" i="188"/>
  <c r="E14" i="188" s="1"/>
  <c r="I11" i="188"/>
  <c r="G11" i="188"/>
  <c r="G10" i="188"/>
  <c r="I10" i="188" s="1"/>
  <c r="G9" i="188"/>
  <c r="G12" i="188" s="1"/>
  <c r="I8" i="188"/>
  <c r="G8" i="188"/>
  <c r="G7" i="188"/>
  <c r="I7" i="188" s="1"/>
  <c r="V11" i="191" l="1"/>
  <c r="W11" i="191" s="1"/>
  <c r="V12" i="191"/>
  <c r="W12" i="191" s="1"/>
  <c r="I13" i="191"/>
  <c r="H16" i="191" s="1"/>
  <c r="H14" i="188"/>
  <c r="I14" i="188" s="1"/>
  <c r="H19" i="188"/>
  <c r="I19" i="188" s="1"/>
  <c r="H15" i="188"/>
  <c r="I15" i="188" s="1"/>
  <c r="H16" i="188"/>
  <c r="I16" i="188" s="1"/>
  <c r="I9" i="188"/>
  <c r="H18" i="188" s="1"/>
  <c r="I18" i="188" s="1"/>
  <c r="W13" i="191" l="1"/>
  <c r="V16" i="191" s="1"/>
  <c r="V18" i="191" s="1"/>
  <c r="R16" i="191" s="1"/>
  <c r="W16" i="191" s="1"/>
  <c r="H18" i="191"/>
  <c r="D16" i="191" s="1"/>
  <c r="I16" i="191"/>
  <c r="I12" i="188"/>
  <c r="B12" i="188" s="1"/>
  <c r="H17" i="188"/>
  <c r="I17" i="188" s="1"/>
  <c r="I20" i="188" s="1"/>
  <c r="H23" i="188" l="1"/>
  <c r="H25" i="188" s="1"/>
  <c r="I23" i="188" l="1"/>
  <c r="I25" i="188" s="1"/>
  <c r="J12" i="188" s="1"/>
  <c r="K7" i="176" l="1"/>
  <c r="H8" i="176"/>
  <c r="H7" i="176"/>
  <c r="E18" i="176"/>
  <c r="C16" i="176"/>
  <c r="C14" i="176"/>
  <c r="F18" i="176"/>
  <c r="B12" i="176"/>
  <c r="E12" i="176" s="1"/>
  <c r="E11" i="176"/>
  <c r="G8" i="176"/>
  <c r="G7" i="176"/>
  <c r="G9" i="176" s="1"/>
  <c r="K9" i="176" s="1"/>
  <c r="I8" i="176" l="1"/>
  <c r="I7" i="176"/>
  <c r="I9" i="176" l="1"/>
  <c r="H11" i="176"/>
  <c r="I11" i="176" s="1"/>
  <c r="H12" i="176" l="1"/>
  <c r="I12" i="176" s="1"/>
  <c r="I13" i="176" s="1"/>
  <c r="B9" i="176"/>
  <c r="H16" i="176" l="1"/>
  <c r="H18" i="176" s="1"/>
  <c r="I16" i="176" l="1"/>
  <c r="I18" i="176" s="1"/>
  <c r="J9" i="176" s="1"/>
  <c r="H7" i="175"/>
  <c r="C23" i="175"/>
  <c r="T55" i="175"/>
  <c r="K56" i="175"/>
  <c r="K55" i="175"/>
  <c r="R67" i="175"/>
  <c r="Q67" i="175"/>
  <c r="O65" i="175"/>
  <c r="N61" i="175"/>
  <c r="Q61" i="175" s="1"/>
  <c r="N60" i="175"/>
  <c r="Q60" i="175" s="1"/>
  <c r="N59" i="175"/>
  <c r="Q59" i="175" s="1"/>
  <c r="S56" i="175"/>
  <c r="U56" i="175" s="1"/>
  <c r="S55" i="175"/>
  <c r="U55" i="175" s="1"/>
  <c r="K35" i="175"/>
  <c r="K34" i="175"/>
  <c r="R46" i="175"/>
  <c r="Q46" i="175"/>
  <c r="O44" i="175"/>
  <c r="N40" i="175"/>
  <c r="Q40" i="175" s="1"/>
  <c r="N39" i="175"/>
  <c r="Q39" i="175" s="1"/>
  <c r="N38" i="175"/>
  <c r="Q38" i="175" s="1"/>
  <c r="T35" i="175"/>
  <c r="S35" i="175"/>
  <c r="T34" i="175"/>
  <c r="S34" i="175"/>
  <c r="B19" i="175"/>
  <c r="B18" i="175"/>
  <c r="B17" i="175"/>
  <c r="B16" i="175"/>
  <c r="B15" i="175"/>
  <c r="B14" i="175"/>
  <c r="E25" i="175"/>
  <c r="K8" i="175"/>
  <c r="K9" i="175"/>
  <c r="K10" i="175"/>
  <c r="K11" i="175"/>
  <c r="K7" i="175"/>
  <c r="R25" i="175"/>
  <c r="Q25" i="175"/>
  <c r="O23" i="175"/>
  <c r="N19" i="175"/>
  <c r="Q19" i="175" s="1"/>
  <c r="N18" i="175"/>
  <c r="Q18" i="175" s="1"/>
  <c r="N17" i="175"/>
  <c r="Q17" i="175" s="1"/>
  <c r="N16" i="175"/>
  <c r="Q16" i="175" s="1"/>
  <c r="N15" i="175"/>
  <c r="Q15" i="175" s="1"/>
  <c r="N14" i="175"/>
  <c r="Q14" i="175" s="1"/>
  <c r="T11" i="175"/>
  <c r="S11" i="175"/>
  <c r="S10" i="175"/>
  <c r="U10" i="175" s="1"/>
  <c r="T9" i="175"/>
  <c r="S9" i="175"/>
  <c r="T8" i="175"/>
  <c r="S8" i="175"/>
  <c r="T7" i="175"/>
  <c r="S7" i="175"/>
  <c r="U7" i="175" s="1"/>
  <c r="J69" i="175"/>
  <c r="G69" i="175"/>
  <c r="G48" i="175"/>
  <c r="I48" i="175" s="1"/>
  <c r="J48" i="175" s="1"/>
  <c r="P48" i="175" s="1"/>
  <c r="Q48" i="175" s="1"/>
  <c r="G27" i="175"/>
  <c r="I27" i="175" s="1"/>
  <c r="J27" i="175" s="1"/>
  <c r="P27" i="175" s="1"/>
  <c r="Q27" i="175" s="1"/>
  <c r="H77" i="175"/>
  <c r="H76" i="175"/>
  <c r="H55" i="175"/>
  <c r="H34" i="175"/>
  <c r="H35" i="175"/>
  <c r="H9" i="175"/>
  <c r="H11" i="175"/>
  <c r="H8" i="175"/>
  <c r="F88" i="175"/>
  <c r="E88" i="175"/>
  <c r="F67" i="175"/>
  <c r="E67" i="175"/>
  <c r="F46" i="175"/>
  <c r="E46" i="175"/>
  <c r="F25" i="175"/>
  <c r="C86" i="175"/>
  <c r="C65" i="175"/>
  <c r="C44" i="175"/>
  <c r="B82" i="175"/>
  <c r="E82" i="175" s="1"/>
  <c r="B81" i="175"/>
  <c r="E81" i="175" s="1"/>
  <c r="B80" i="175"/>
  <c r="E80" i="175" s="1"/>
  <c r="G77" i="175"/>
  <c r="G76" i="175"/>
  <c r="B61" i="175"/>
  <c r="E61" i="175" s="1"/>
  <c r="B60" i="175"/>
  <c r="E60" i="175" s="1"/>
  <c r="B59" i="175"/>
  <c r="E59" i="175" s="1"/>
  <c r="G56" i="175"/>
  <c r="I56" i="175" s="1"/>
  <c r="G55" i="175"/>
  <c r="B40" i="175"/>
  <c r="E40" i="175" s="1"/>
  <c r="B39" i="175"/>
  <c r="E39" i="175" s="1"/>
  <c r="B38" i="175"/>
  <c r="E38" i="175" s="1"/>
  <c r="G35" i="175"/>
  <c r="G34" i="175"/>
  <c r="U8" i="175" l="1"/>
  <c r="U35" i="175"/>
  <c r="W55" i="175"/>
  <c r="I35" i="175"/>
  <c r="T60" i="175"/>
  <c r="T59" i="175"/>
  <c r="U59" i="175" s="1"/>
  <c r="T61" i="175"/>
  <c r="U57" i="175"/>
  <c r="N57" i="175" s="1"/>
  <c r="V57" i="175" s="1"/>
  <c r="U60" i="175"/>
  <c r="U61" i="175"/>
  <c r="S57" i="175"/>
  <c r="U34" i="175"/>
  <c r="T39" i="175" s="1"/>
  <c r="U39" i="175" s="1"/>
  <c r="L69" i="175"/>
  <c r="M69" i="175" s="1"/>
  <c r="S69" i="175" s="1"/>
  <c r="T69" i="175" s="1"/>
  <c r="S36" i="175"/>
  <c r="U9" i="175"/>
  <c r="U11" i="175"/>
  <c r="T19" i="175" s="1"/>
  <c r="U19" i="175" s="1"/>
  <c r="T18" i="175"/>
  <c r="U18" i="175" s="1"/>
  <c r="T15" i="175"/>
  <c r="U15" i="175" s="1"/>
  <c r="T14" i="175"/>
  <c r="U14" i="175" s="1"/>
  <c r="T16" i="175"/>
  <c r="U16" i="175" s="1"/>
  <c r="S12" i="175"/>
  <c r="G57" i="175"/>
  <c r="G36" i="175"/>
  <c r="I77" i="175"/>
  <c r="G78" i="175"/>
  <c r="I55" i="175"/>
  <c r="I57" i="175" s="1"/>
  <c r="B57" i="175" s="1"/>
  <c r="I76" i="175"/>
  <c r="I34" i="175"/>
  <c r="T38" i="175" l="1"/>
  <c r="U38" i="175" s="1"/>
  <c r="T40" i="175"/>
  <c r="U40" i="175" s="1"/>
  <c r="U36" i="175"/>
  <c r="N36" i="175" s="1"/>
  <c r="U12" i="175"/>
  <c r="N12" i="175" s="1"/>
  <c r="U41" i="175"/>
  <c r="T17" i="175"/>
  <c r="U17" i="175" s="1"/>
  <c r="U20" i="175" s="1"/>
  <c r="T23" i="175" s="1"/>
  <c r="U62" i="175"/>
  <c r="T65" i="175" s="1"/>
  <c r="H60" i="175"/>
  <c r="I60" i="175" s="1"/>
  <c r="H59" i="175"/>
  <c r="I59" i="175" s="1"/>
  <c r="H61" i="175"/>
  <c r="I61" i="175" s="1"/>
  <c r="H80" i="175"/>
  <c r="I80" i="175" s="1"/>
  <c r="I78" i="175"/>
  <c r="B78" i="175" s="1"/>
  <c r="H82" i="175"/>
  <c r="I82" i="175" s="1"/>
  <c r="H81" i="175"/>
  <c r="I81" i="175" s="1"/>
  <c r="H38" i="175"/>
  <c r="I38" i="175" s="1"/>
  <c r="I36" i="175"/>
  <c r="B36" i="175" s="1"/>
  <c r="H40" i="175"/>
  <c r="I40" i="175" s="1"/>
  <c r="H39" i="175"/>
  <c r="I39" i="175" s="1"/>
  <c r="T44" i="175" l="1"/>
  <c r="U23" i="175"/>
  <c r="T25" i="175"/>
  <c r="T46" i="175"/>
  <c r="U44" i="175"/>
  <c r="I62" i="175"/>
  <c r="H65" i="175" s="1"/>
  <c r="I65" i="175" s="1"/>
  <c r="T67" i="175"/>
  <c r="U65" i="175"/>
  <c r="U67" i="175" s="1"/>
  <c r="I83" i="175"/>
  <c r="H86" i="175" s="1"/>
  <c r="H67" i="175"/>
  <c r="I41" i="175"/>
  <c r="H44" i="175" s="1"/>
  <c r="I67" i="175" l="1"/>
  <c r="J57" i="175"/>
  <c r="K67" i="175"/>
  <c r="U25" i="175"/>
  <c r="U46" i="175"/>
  <c r="H88" i="175"/>
  <c r="I86" i="175"/>
  <c r="H46" i="175"/>
  <c r="I44" i="175"/>
  <c r="W25" i="175" l="1"/>
  <c r="V12" i="175"/>
  <c r="W46" i="175"/>
  <c r="V36" i="175"/>
  <c r="I88" i="175"/>
  <c r="J78" i="175" s="1"/>
  <c r="I46" i="175"/>
  <c r="E19" i="175"/>
  <c r="E18" i="175"/>
  <c r="E17" i="175"/>
  <c r="E16" i="175"/>
  <c r="E15" i="175"/>
  <c r="E14" i="175"/>
  <c r="G11" i="175"/>
  <c r="I11" i="175" s="1"/>
  <c r="G10" i="175"/>
  <c r="I10" i="175" s="1"/>
  <c r="G9" i="175"/>
  <c r="G12" i="175" s="1"/>
  <c r="G8" i="175"/>
  <c r="I8" i="175" s="1"/>
  <c r="G7" i="175"/>
  <c r="I7" i="175" s="1"/>
  <c r="J36" i="175" l="1"/>
  <c r="K46" i="175"/>
  <c r="H16" i="175"/>
  <c r="I16" i="175" s="1"/>
  <c r="I9" i="175"/>
  <c r="H17" i="175" s="1"/>
  <c r="I17" i="175" s="1"/>
  <c r="H15" i="175"/>
  <c r="I15" i="175" s="1"/>
  <c r="H19" i="175"/>
  <c r="I19" i="175" s="1"/>
  <c r="H14" i="175"/>
  <c r="I14" i="175" s="1"/>
  <c r="I12" i="175" l="1"/>
  <c r="B12" i="175" s="1"/>
  <c r="H18" i="175"/>
  <c r="I18" i="175" s="1"/>
  <c r="I20" i="175" s="1"/>
  <c r="H23" i="175" s="1"/>
  <c r="H25" i="175" s="1"/>
  <c r="I23" i="175" l="1"/>
  <c r="I25" i="175" s="1"/>
  <c r="J12" i="175" l="1"/>
  <c r="K25" i="175"/>
</calcChain>
</file>

<file path=xl/sharedStrings.xml><?xml version="1.0" encoding="utf-8"?>
<sst xmlns="http://schemas.openxmlformats.org/spreadsheetml/2006/main" count="1802" uniqueCount="361">
  <si>
    <t>序号</t>
    <phoneticPr fontId="7" type="noConversion"/>
  </si>
  <si>
    <t>规格</t>
    <phoneticPr fontId="7" type="noConversion"/>
  </si>
  <si>
    <t>成本分析号</t>
    <phoneticPr fontId="7" type="noConversion"/>
  </si>
  <si>
    <t>单价</t>
    <phoneticPr fontId="7" type="noConversion"/>
  </si>
  <si>
    <t>利润</t>
    <phoneticPr fontId="7" type="noConversion"/>
  </si>
  <si>
    <t>材料占比</t>
    <phoneticPr fontId="7" type="noConversion"/>
  </si>
  <si>
    <t>成 本 分 析 表</t>
    <phoneticPr fontId="7" type="noConversion"/>
  </si>
  <si>
    <t>编号:</t>
    <phoneticPr fontId="13" type="noConversion"/>
  </si>
  <si>
    <t>客户：</t>
    <phoneticPr fontId="7" type="noConversion"/>
  </si>
  <si>
    <t>分析日期：</t>
    <phoneticPr fontId="7" type="noConversion"/>
  </si>
  <si>
    <t>结构：</t>
    <phoneticPr fontId="7" type="noConversion"/>
  </si>
  <si>
    <t>品名规格：</t>
    <phoneticPr fontId="7" type="noConversion"/>
  </si>
  <si>
    <t>制程</t>
    <phoneticPr fontId="7" type="noConversion"/>
  </si>
  <si>
    <t>单位用量</t>
    <phoneticPr fontId="7" type="noConversion"/>
  </si>
  <si>
    <t>材料金额</t>
    <phoneticPr fontId="7" type="noConversion"/>
  </si>
  <si>
    <t>KG/100M</t>
    <phoneticPr fontId="7" type="noConversion"/>
  </si>
  <si>
    <t>RMB/KG</t>
    <phoneticPr fontId="7" type="noConversion"/>
  </si>
  <si>
    <t>RMB/100M</t>
    <phoneticPr fontId="7" type="noConversion"/>
  </si>
  <si>
    <t>1</t>
    <phoneticPr fontId="7" type="noConversion"/>
  </si>
  <si>
    <t>铜绞</t>
    <phoneticPr fontId="7" type="noConversion"/>
  </si>
  <si>
    <t>外被</t>
    <phoneticPr fontId="7" type="noConversion"/>
  </si>
  <si>
    <t>材料成本</t>
    <phoneticPr fontId="7" type="noConversion"/>
  </si>
  <si>
    <t>RMB/M</t>
    <phoneticPr fontId="7" type="noConversion"/>
  </si>
  <si>
    <t>Kg</t>
    <phoneticPr fontId="13" type="noConversion"/>
  </si>
  <si>
    <t>標准工時(一台机1KM开机时间)</t>
    <phoneticPr fontId="7" type="noConversion"/>
  </si>
  <si>
    <t>固定费用率</t>
    <phoneticPr fontId="7" type="noConversion"/>
  </si>
  <si>
    <t>固定費用</t>
    <phoneticPr fontId="7" type="noConversion"/>
  </si>
  <si>
    <t>开机损耗废线（100M/每根芯线）</t>
    <phoneticPr fontId="13" type="noConversion"/>
  </si>
  <si>
    <t>每个制程总废胶(KG)</t>
    <phoneticPr fontId="13" type="noConversion"/>
  </si>
  <si>
    <t>金额</t>
    <phoneticPr fontId="13" type="noConversion"/>
  </si>
  <si>
    <t>費用成本小計</t>
    <phoneticPr fontId="7" type="noConversion"/>
  </si>
  <si>
    <t>其他费用</t>
    <phoneticPr fontId="13" type="noConversion"/>
  </si>
  <si>
    <t>UL标签费(RMB/M)</t>
    <phoneticPr fontId="13" type="noConversion"/>
  </si>
  <si>
    <t>运输费(RMB/KG)</t>
    <phoneticPr fontId="13" type="noConversion"/>
  </si>
  <si>
    <t>包装费(RMB/M)</t>
    <phoneticPr fontId="13" type="noConversion"/>
  </si>
  <si>
    <t>订单开机次数</t>
    <phoneticPr fontId="13" type="noConversion"/>
  </si>
  <si>
    <t>费用总计</t>
    <phoneticPr fontId="13" type="noConversion"/>
  </si>
  <si>
    <t>成本(RMB/M)</t>
    <phoneticPr fontId="13" type="noConversion"/>
  </si>
  <si>
    <t>净利率</t>
    <phoneticPr fontId="13" type="noConversion"/>
  </si>
  <si>
    <t>报关费(RMB/次)</t>
    <phoneticPr fontId="13" type="noConversion"/>
  </si>
  <si>
    <t>增值税率</t>
    <phoneticPr fontId="13" type="noConversion"/>
  </si>
  <si>
    <t>订单米数</t>
    <phoneticPr fontId="13" type="noConversion"/>
  </si>
  <si>
    <t>照射芯数</t>
    <phoneticPr fontId="13" type="noConversion"/>
  </si>
  <si>
    <t>照射费用(RMB/M)</t>
    <phoneticPr fontId="13" type="noConversion"/>
  </si>
  <si>
    <t>不取利售价（RMB/M）</t>
    <phoneticPr fontId="13" type="noConversion"/>
  </si>
  <si>
    <t>最终售价（RMB/M）</t>
    <phoneticPr fontId="13" type="noConversion"/>
  </si>
  <si>
    <t>电缆成本分析表</t>
  </si>
  <si>
    <t>编号:</t>
  </si>
  <si>
    <t>客户：</t>
  </si>
  <si>
    <t>分析日期：</t>
  </si>
  <si>
    <t>结构：</t>
  </si>
  <si>
    <t>品名规格：</t>
  </si>
  <si>
    <t>序号</t>
  </si>
  <si>
    <t>制程</t>
  </si>
  <si>
    <t>详细规格</t>
  </si>
  <si>
    <t>单位用量</t>
  </si>
  <si>
    <t>单价</t>
  </si>
  <si>
    <t>材料金额</t>
  </si>
  <si>
    <t>KG/100M</t>
  </si>
  <si>
    <t>RMB/KG</t>
  </si>
  <si>
    <t>RMB/100M</t>
  </si>
  <si>
    <t>1</t>
  </si>
  <si>
    <t>导体绞合</t>
  </si>
  <si>
    <t>绝缘</t>
  </si>
  <si>
    <t>填充</t>
    <phoneticPr fontId="7" type="noConversion"/>
  </si>
  <si>
    <t>包带</t>
    <phoneticPr fontId="7" type="noConversion"/>
  </si>
  <si>
    <t>编织</t>
    <phoneticPr fontId="7" type="noConversion"/>
  </si>
  <si>
    <t>绕包</t>
  </si>
  <si>
    <t>外护套</t>
    <phoneticPr fontId="7" type="noConversion"/>
  </si>
  <si>
    <t>材料成本</t>
  </si>
  <si>
    <t>RMB/M</t>
  </si>
  <si>
    <t>Kg</t>
  </si>
  <si>
    <t>標准工時(一台机1KM开机时间)</t>
  </si>
  <si>
    <r>
      <t>损耗时间</t>
    </r>
    <r>
      <rPr>
        <sz val="10"/>
        <rFont val="Times New Roman"/>
        <family val="1"/>
      </rPr>
      <t>(1km)</t>
    </r>
  </si>
  <si>
    <t>固定费用率</t>
  </si>
  <si>
    <t>固定費用</t>
  </si>
  <si>
    <t>开机损耗废线（100M/每根芯线）</t>
  </si>
  <si>
    <t>每个制程总废胶(KG)</t>
  </si>
  <si>
    <t>金额</t>
  </si>
  <si>
    <t>費用成本小計</t>
  </si>
  <si>
    <t>成缆</t>
    <phoneticPr fontId="7" type="noConversion"/>
  </si>
  <si>
    <t>其他费用</t>
    <phoneticPr fontId="7" type="noConversion"/>
  </si>
  <si>
    <t>UL标签费(RMB/M)</t>
  </si>
  <si>
    <t>运输费(RMB/KG)</t>
  </si>
  <si>
    <t>包装费(RMB/M)</t>
  </si>
  <si>
    <r>
      <t>废品损耗</t>
    </r>
    <r>
      <rPr>
        <sz val="10"/>
        <color indexed="10"/>
        <rFont val="新細明體"/>
        <family val="1"/>
      </rPr>
      <t>(%)</t>
    </r>
  </si>
  <si>
    <t>订单开机次数</t>
  </si>
  <si>
    <t>费用总计</t>
  </si>
  <si>
    <t>成本(RMB/M)</t>
  </si>
  <si>
    <r>
      <t>取利售价（</t>
    </r>
    <r>
      <rPr>
        <sz val="10"/>
        <rFont val="Times New Roman"/>
        <family val="1"/>
      </rPr>
      <t>RMB/M</t>
    </r>
    <r>
      <rPr>
        <sz val="10"/>
        <rFont val="宋体"/>
        <family val="3"/>
        <charset val="134"/>
      </rPr>
      <t>）</t>
    </r>
  </si>
  <si>
    <t>报关费(RMB/次)</t>
  </si>
  <si>
    <t>增值税率</t>
  </si>
  <si>
    <t>订单米数</t>
  </si>
  <si>
    <t>照射芯数</t>
  </si>
  <si>
    <t>照射费用(RMB/M)</t>
  </si>
  <si>
    <t>不取利售价（RMB/M）</t>
  </si>
  <si>
    <t>最终售价（RMB/M）</t>
  </si>
  <si>
    <t>***</t>
    <phoneticPr fontId="7" type="noConversion"/>
  </si>
  <si>
    <t>送货费</t>
    <phoneticPr fontId="13" type="noConversion"/>
  </si>
  <si>
    <t>24/8/0.20TC</t>
    <phoneticPr fontId="7" type="noConversion"/>
  </si>
  <si>
    <t>备注</t>
    <phoneticPr fontId="7" type="noConversion"/>
  </si>
  <si>
    <t>营业费用率</t>
  </si>
  <si>
    <t>月结利息</t>
  </si>
  <si>
    <t>企税税率</t>
  </si>
  <si>
    <t>目标价</t>
    <phoneticPr fontId="7" type="noConversion"/>
  </si>
  <si>
    <t>送货费</t>
    <phoneticPr fontId="7" type="noConversion"/>
  </si>
  <si>
    <t>净利率</t>
  </si>
  <si>
    <t>料号</t>
  </si>
  <si>
    <t>EVBA-2.5-010</t>
    <phoneticPr fontId="7" type="noConversion"/>
  </si>
  <si>
    <t>含税单价</t>
    <phoneticPr fontId="7" type="noConversion"/>
  </si>
  <si>
    <t>2024.06.03</t>
    <phoneticPr fontId="7" type="noConversion"/>
  </si>
  <si>
    <r>
      <t>125</t>
    </r>
    <r>
      <rPr>
        <sz val="12"/>
        <rFont val="Times New Roman"/>
        <family val="1"/>
      </rPr>
      <t>℃</t>
    </r>
    <r>
      <rPr>
        <sz val="12"/>
        <rFont val="微软雅黑"/>
        <family val="2"/>
        <charset val="134"/>
      </rPr>
      <t>车内高压线</t>
    </r>
    <r>
      <rPr>
        <sz val="12"/>
        <rFont val="Times New Roman"/>
        <family val="1"/>
      </rPr>
      <t>XLPE  EX8732901  ID:3.4mm*3C</t>
    </r>
    <phoneticPr fontId="7" type="noConversion"/>
  </si>
  <si>
    <r>
      <rPr>
        <sz val="12"/>
        <rFont val="宋体"/>
        <family val="3"/>
        <charset val="134"/>
      </rPr>
      <t>聚酯带</t>
    </r>
    <r>
      <rPr>
        <sz val="12"/>
        <rFont val="Times New Roman"/>
        <family val="1"/>
      </rPr>
      <t xml:space="preserve"> 0.05*20mm</t>
    </r>
    <phoneticPr fontId="7" type="noConversion"/>
  </si>
  <si>
    <t>16/9/0.15TC</t>
    <phoneticPr fontId="7" type="noConversion"/>
  </si>
  <si>
    <t>AL-MYLAR 0.035*20</t>
    <phoneticPr fontId="7" type="noConversion"/>
  </si>
  <si>
    <r>
      <t>125</t>
    </r>
    <r>
      <rPr>
        <sz val="12"/>
        <rFont val="Segoe UI Symbol"/>
        <family val="2"/>
      </rPr>
      <t>℃</t>
    </r>
    <r>
      <rPr>
        <sz val="12"/>
        <rFont val="微软雅黑"/>
        <family val="2"/>
        <charset val="134"/>
      </rPr>
      <t>车内高压线</t>
    </r>
    <r>
      <rPr>
        <sz val="12"/>
        <rFont val="Times New Roman"/>
        <family val="1"/>
      </rPr>
      <t>XLPE  EX8732901  ID:10.0mm*1C</t>
    </r>
    <phoneticPr fontId="7" type="noConversion"/>
  </si>
  <si>
    <t>材料占比</t>
  </si>
  <si>
    <t>利润</t>
  </si>
  <si>
    <t>客户目标价</t>
    <phoneticPr fontId="7" type="noConversion"/>
  </si>
  <si>
    <t>武汉，800木轴运费：800元/吨+200/趟送货费</t>
    <phoneticPr fontId="7" type="noConversion"/>
  </si>
  <si>
    <t>128/0.194BC</t>
    <phoneticPr fontId="7" type="noConversion"/>
  </si>
  <si>
    <t>128/0.194BC*1C</t>
    <phoneticPr fontId="7" type="noConversion"/>
  </si>
  <si>
    <t>EVBA-2.5-010-1</t>
    <phoneticPr fontId="7" type="noConversion"/>
  </si>
  <si>
    <t>80/0.194BC*3C</t>
    <phoneticPr fontId="7" type="noConversion"/>
  </si>
  <si>
    <r>
      <t>EVBA  3*2.5mm2
-40~125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 xml:space="preserve"> AC 1000V/DC 1500V</t>
    </r>
    <phoneticPr fontId="7" type="noConversion"/>
  </si>
  <si>
    <t>月结90天/承兑，无信保，2.5/4平方有0.5%佣金给五菱，大平方有0.5%佣金给德泰纳</t>
    <phoneticPr fontId="7" type="noConversion"/>
  </si>
  <si>
    <r>
      <t>AL-MYLAR 0.035</t>
    </r>
    <r>
      <rPr>
        <sz val="12"/>
        <rFont val="宋体"/>
        <family val="3"/>
        <charset val="134"/>
      </rPr>
      <t>*30</t>
    </r>
    <phoneticPr fontId="7" type="noConversion"/>
  </si>
  <si>
    <t>铜重</t>
    <phoneticPr fontId="7" type="noConversion"/>
  </si>
  <si>
    <t>零件名称</t>
  </si>
  <si>
    <t>报价铜重基准（kg/km）</t>
  </si>
  <si>
    <t>报价铜价基准
元/kg（含税）</t>
  </si>
  <si>
    <t>报价铜价基准
元/kg（不含税）</t>
  </si>
  <si>
    <t>非铜部分费用
元/km（不含税）</t>
  </si>
  <si>
    <t>线缆价格
元/km（不含税）</t>
  </si>
  <si>
    <t>线缆价格
元/m（不含税）</t>
  </si>
  <si>
    <t>备注</t>
  </si>
  <si>
    <r>
      <t>损耗时间</t>
    </r>
    <r>
      <rPr>
        <sz val="10"/>
        <rFont val="Times New Roman"/>
        <family val="1"/>
      </rPr>
      <t>(1km)</t>
    </r>
    <phoneticPr fontId="13" type="noConversion"/>
  </si>
  <si>
    <r>
      <t>取利售价（</t>
    </r>
    <r>
      <rPr>
        <sz val="10"/>
        <rFont val="Times New Roman"/>
        <family val="1"/>
      </rPr>
      <t>RMB/M</t>
    </r>
    <r>
      <rPr>
        <sz val="10"/>
        <rFont val="宋体"/>
        <family val="3"/>
        <charset val="134"/>
      </rPr>
      <t>）</t>
    </r>
    <phoneticPr fontId="13" type="noConversion"/>
  </si>
  <si>
    <t>损耗时间(1km)</t>
  </si>
  <si>
    <t>废品损耗(%)</t>
  </si>
  <si>
    <t>取利售价（RMB/M）</t>
  </si>
  <si>
    <t>99/0.194BC</t>
    <phoneticPr fontId="7" type="noConversion"/>
  </si>
  <si>
    <t>99/0.194BC*1C</t>
    <phoneticPr fontId="7" type="noConversion"/>
  </si>
  <si>
    <t>电缆成本分析表--16</t>
    <phoneticPr fontId="7" type="noConversion"/>
  </si>
  <si>
    <r>
      <t>废品损耗</t>
    </r>
    <r>
      <rPr>
        <sz val="10"/>
        <color indexed="10"/>
        <rFont val="新細明體"/>
        <family val="1"/>
        <charset val="255"/>
      </rPr>
      <t>(%)</t>
    </r>
    <phoneticPr fontId="13" type="noConversion"/>
  </si>
  <si>
    <t>2368/0.194BC</t>
    <phoneticPr fontId="41" type="noConversion"/>
  </si>
  <si>
    <t>编织</t>
    <phoneticPr fontId="41" type="noConversion"/>
  </si>
  <si>
    <t>其他费用</t>
    <phoneticPr fontId="41" type="noConversion"/>
  </si>
  <si>
    <t>1121/0.20BC</t>
    <phoneticPr fontId="41" type="noConversion"/>
  </si>
  <si>
    <t>包带</t>
    <phoneticPr fontId="41" type="noConversion"/>
  </si>
  <si>
    <t>护套</t>
    <phoneticPr fontId="41" type="noConversion"/>
  </si>
  <si>
    <t>详细规格</t>
    <phoneticPr fontId="10" type="noConversion"/>
  </si>
  <si>
    <t>2368/0.194BC*1C</t>
    <phoneticPr fontId="41" type="noConversion"/>
  </si>
  <si>
    <t>EV-YJ-4-002</t>
    <phoneticPr fontId="7" type="noConversion"/>
  </si>
  <si>
    <t>16/0.194BC</t>
    <phoneticPr fontId="7" type="noConversion"/>
  </si>
  <si>
    <r>
      <t>FLR2X-B 0.5mm</t>
    </r>
    <r>
      <rPr>
        <vertAlign val="superscript"/>
        <sz val="10"/>
        <rFont val="Times New Roman"/>
        <family val="1"/>
      </rPr>
      <t>2</t>
    </r>
    <phoneticPr fontId="7" type="noConversion"/>
  </si>
  <si>
    <t>16/0.194BC*1C</t>
    <phoneticPr fontId="7" type="noConversion"/>
  </si>
  <si>
    <t>倒线</t>
    <phoneticPr fontId="7" type="noConversion"/>
  </si>
  <si>
    <t>柳州德泰纳：1200/吨+200送货费</t>
    <phoneticPr fontId="7" type="noConversion"/>
  </si>
  <si>
    <t>FHL2G-70-001</t>
    <phoneticPr fontId="41" type="noConversion"/>
  </si>
  <si>
    <t>用量10000米/月</t>
    <phoneticPr fontId="7" type="noConversion"/>
  </si>
  <si>
    <r>
      <rPr>
        <sz val="12"/>
        <rFont val="宋体"/>
        <family val="3"/>
        <charset val="134"/>
      </rPr>
      <t>无纺布 0.08*30</t>
    </r>
    <r>
      <rPr>
        <sz val="12"/>
        <rFont val="Times New Roman"/>
        <family val="1"/>
      </rPr>
      <t>mm</t>
    </r>
    <phoneticPr fontId="7" type="noConversion"/>
  </si>
  <si>
    <t>电缆成本分析表--1</t>
    <phoneticPr fontId="7" type="noConversion"/>
  </si>
  <si>
    <t>电缆成本分析表--2</t>
    <phoneticPr fontId="7" type="noConversion"/>
  </si>
  <si>
    <t>电缆成本分析表--4</t>
    <phoneticPr fontId="7" type="noConversion"/>
  </si>
  <si>
    <t>电缆成本分析表--3</t>
    <phoneticPr fontId="7" type="noConversion"/>
  </si>
  <si>
    <t>1121/0.196BC*1C</t>
    <phoneticPr fontId="41" type="noConversion"/>
  </si>
  <si>
    <r>
      <t>AL-MYLAR 0.035</t>
    </r>
    <r>
      <rPr>
        <sz val="12"/>
        <rFont val="宋体"/>
        <family val="3"/>
        <charset val="134"/>
      </rPr>
      <t>*30</t>
    </r>
  </si>
  <si>
    <t>1596/0.20BC</t>
    <phoneticPr fontId="41" type="noConversion"/>
  </si>
  <si>
    <t>1596/0.196BC*1C</t>
    <phoneticPr fontId="41" type="noConversion"/>
  </si>
  <si>
    <t>电缆成本分析表--14</t>
    <phoneticPr fontId="7" type="noConversion"/>
  </si>
  <si>
    <t>EX9201804</t>
    <phoneticPr fontId="7" type="noConversion"/>
  </si>
  <si>
    <t>66001-68000</t>
  </si>
  <si>
    <t>68001-70000</t>
  </si>
  <si>
    <t>70001-72000</t>
  </si>
  <si>
    <t>72001-74000</t>
  </si>
  <si>
    <t>74001-76000</t>
  </si>
  <si>
    <t>76001-78000</t>
    <phoneticPr fontId="7" type="noConversion"/>
  </si>
  <si>
    <t>78001-80000</t>
    <phoneticPr fontId="7" type="noConversion"/>
  </si>
  <si>
    <t>80001-82000</t>
    <phoneticPr fontId="7" type="noConversion"/>
  </si>
  <si>
    <t>25.2.17</t>
    <phoneticPr fontId="7" type="noConversion"/>
  </si>
  <si>
    <t>报价日期</t>
    <phoneticPr fontId="7" type="noConversion"/>
  </si>
  <si>
    <t>4平方非屏蔽线</t>
  </si>
  <si>
    <t>橙色 φ4.20±0.10 交联 -40~125℃</t>
  </si>
  <si>
    <r>
      <t>AL-MYLAR 0.020</t>
    </r>
    <r>
      <rPr>
        <sz val="12"/>
        <rFont val="宋体"/>
        <family val="3"/>
        <charset val="134"/>
      </rPr>
      <t>*15</t>
    </r>
    <phoneticPr fontId="7" type="noConversion"/>
  </si>
  <si>
    <r>
      <t>EV-YJ  4mm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
-40~125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 xml:space="preserve"> DC 1000V</t>
    </r>
    <phoneticPr fontId="7" type="noConversion"/>
  </si>
  <si>
    <t xml:space="preserve">800木轴 500 米 </t>
    <phoneticPr fontId="41" type="noConversion"/>
  </si>
  <si>
    <t>新报价</t>
    <phoneticPr fontId="7" type="noConversion"/>
  </si>
  <si>
    <t>2025.12.21</t>
    <phoneticPr fontId="41" type="noConversion"/>
  </si>
  <si>
    <r>
      <t>FHL2G 70mm2 
-40~180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 xml:space="preserve">  1000V AC/1500V DC</t>
    </r>
    <phoneticPr fontId="7" type="noConversion"/>
  </si>
  <si>
    <t xml:space="preserve">6010652 </t>
    <phoneticPr fontId="7" type="noConversion"/>
  </si>
  <si>
    <r>
      <rPr>
        <sz val="12"/>
        <rFont val="宋体"/>
        <family val="3"/>
        <charset val="134"/>
      </rPr>
      <t>车内高压线硅胶</t>
    </r>
    <r>
      <rPr>
        <sz val="12"/>
        <rFont val="Times New Roman"/>
        <family val="1"/>
      </rPr>
      <t xml:space="preserve">  </t>
    </r>
    <r>
      <rPr>
        <sz val="12"/>
        <color rgb="FFFF0000"/>
        <rFont val="宋体"/>
        <family val="3"/>
        <charset val="134"/>
      </rPr>
      <t>朗晟</t>
    </r>
    <r>
      <rPr>
        <sz val="12"/>
        <color rgb="FFFF0000"/>
        <rFont val="Times New Roman"/>
        <family val="3"/>
      </rPr>
      <t>D1772700J</t>
    </r>
    <r>
      <rPr>
        <sz val="12"/>
        <rFont val="Times New Roman"/>
        <family val="1"/>
      </rPr>
      <t xml:space="preserve"> 14.7mm </t>
    </r>
    <phoneticPr fontId="7" type="noConversion"/>
  </si>
  <si>
    <t>25.9.11</t>
    <phoneticPr fontId="7" type="noConversion"/>
  </si>
  <si>
    <t>70平方单芯非屏蔽线
FHL2G 70mm2 
-40~180℃  1000V AC/1500V DC</t>
    <phoneticPr fontId="7" type="noConversion"/>
  </si>
  <si>
    <t>FHL2G-70-001</t>
    <phoneticPr fontId="7" type="noConversion"/>
  </si>
  <si>
    <t>2025.12.17</t>
    <phoneticPr fontId="7" type="noConversion"/>
  </si>
  <si>
    <t>月需求量：2万米</t>
    <phoneticPr fontId="7" type="noConversion"/>
  </si>
  <si>
    <r>
      <t>AL-MYLAR 0.02</t>
    </r>
    <r>
      <rPr>
        <sz val="12"/>
        <rFont val="宋体"/>
        <family val="3"/>
        <charset val="134"/>
      </rPr>
      <t>*15</t>
    </r>
    <phoneticPr fontId="7" type="noConversion"/>
  </si>
  <si>
    <t>800木轴 4000米</t>
  </si>
  <si>
    <t>102000</t>
    <phoneticPr fontId="7" type="noConversion"/>
  </si>
  <si>
    <t>FHLR2GCB2G-50-003</t>
    <phoneticPr fontId="41" type="noConversion"/>
  </si>
  <si>
    <t xml:space="preserve">6010634  800木轴 500 米 </t>
    <phoneticPr fontId="41" type="noConversion"/>
  </si>
  <si>
    <r>
      <t xml:space="preserve">FHLR2GCB2G 50mm2 </t>
    </r>
    <r>
      <rPr>
        <sz val="10"/>
        <rFont val="宋体"/>
        <family val="3"/>
        <charset val="134"/>
      </rPr>
      <t>编织85%</t>
    </r>
    <r>
      <rPr>
        <sz val="10"/>
        <rFont val="Times New Roman"/>
        <family val="1"/>
      </rPr>
      <t xml:space="preserve">
-40~180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 xml:space="preserve">  600V AC/1000V DC</t>
    </r>
    <phoneticPr fontId="7" type="noConversion"/>
  </si>
  <si>
    <t>铜含量</t>
    <phoneticPr fontId="7" type="noConversion"/>
  </si>
  <si>
    <t>2026.3.16</t>
    <phoneticPr fontId="7" type="noConversion"/>
  </si>
  <si>
    <r>
      <rPr>
        <sz val="12"/>
        <rFont val="宋体"/>
        <family val="3"/>
        <charset val="134"/>
      </rPr>
      <t xml:space="preserve">车内高压线硅胶 </t>
    </r>
    <r>
      <rPr>
        <sz val="12"/>
        <rFont val="Times New Roman"/>
        <family val="3"/>
      </rPr>
      <t>D1772700H</t>
    </r>
    <r>
      <rPr>
        <sz val="12"/>
        <rFont val="Times New Roman"/>
        <family val="1"/>
      </rPr>
      <t xml:space="preserve">   15.5mm </t>
    </r>
    <phoneticPr fontId="7" type="noConversion"/>
  </si>
  <si>
    <t>EVP-YJ-4-006</t>
    <phoneticPr fontId="7" type="noConversion"/>
  </si>
  <si>
    <r>
      <rPr>
        <sz val="12"/>
        <rFont val="宋体"/>
        <family val="3"/>
        <charset val="134"/>
      </rPr>
      <t>车内高压线硅胶</t>
    </r>
    <r>
      <rPr>
        <sz val="12"/>
        <rFont val="Times New Roman"/>
        <family val="3"/>
      </rPr>
      <t xml:space="preserve"> D1772700J  </t>
    </r>
    <r>
      <rPr>
        <sz val="12"/>
        <rFont val="Times New Roman"/>
        <family val="1"/>
      </rPr>
      <t xml:space="preserve">11.9mm </t>
    </r>
    <phoneticPr fontId="7" type="noConversion"/>
  </si>
  <si>
    <r>
      <t>16/5/0.20 TA</t>
    </r>
    <r>
      <rPr>
        <b/>
        <sz val="12"/>
        <color indexed="10"/>
        <rFont val="宋体"/>
        <family val="3"/>
        <charset val="134"/>
      </rPr>
      <t>镀锡</t>
    </r>
    <r>
      <rPr>
        <b/>
        <sz val="12"/>
        <color indexed="10"/>
        <rFont val="宋体"/>
        <family val="3"/>
        <charset val="134"/>
      </rPr>
      <t>铜包铝编织</t>
    </r>
    <phoneticPr fontId="7" type="noConversion"/>
  </si>
  <si>
    <t>铜*0.45+铝*0.55+加工费31500</t>
    <phoneticPr fontId="7" type="noConversion"/>
  </si>
  <si>
    <r>
      <t>125</t>
    </r>
    <r>
      <rPr>
        <sz val="12"/>
        <rFont val="Segoe UI Symbol"/>
        <family val="1"/>
      </rPr>
      <t>℃</t>
    </r>
    <r>
      <rPr>
        <sz val="12"/>
        <rFont val="Times New Roman"/>
        <family val="1"/>
      </rPr>
      <t xml:space="preserve"> XLPE EX9201804   ID:3.6mm*1C</t>
    </r>
    <phoneticPr fontId="7" type="noConversion"/>
  </si>
  <si>
    <t xml:space="preserve">FHLR2GCB2G 50mm2 编织85%
-40~180℃  600V AC/1000V DC
1596/0.20BC
车内高压线硅胶 15.5mm </t>
    <phoneticPr fontId="7" type="noConversion"/>
  </si>
  <si>
    <t>FHLR2GCB2G-50-003</t>
    <phoneticPr fontId="7" type="noConversion"/>
  </si>
  <si>
    <t>柳州德泰纳：25年运费，798元/吨，高压线按吨打托，800的木轴，单轴重20公斤左右，轴+线200公斤，5吨以下送货费/次220元</t>
    <phoneticPr fontId="7" type="noConversion"/>
  </si>
  <si>
    <t>使用26.2.11汪经理确认最低成本</t>
    <phoneticPr fontId="7" type="noConversion"/>
  </si>
  <si>
    <t>25.11.11日价格</t>
    <phoneticPr fontId="7" type="noConversion"/>
  </si>
  <si>
    <t>规格无变化</t>
    <phoneticPr fontId="7" type="noConversion"/>
  </si>
  <si>
    <r>
      <t>EVP-YJ  3mm2 AS+B+A
-40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>~125</t>
    </r>
    <r>
      <rPr>
        <sz val="10"/>
        <rFont val="Segoe UI Symbol"/>
        <family val="2"/>
      </rPr>
      <t>℃</t>
    </r>
    <r>
      <rPr>
        <sz val="10"/>
        <rFont val="微软雅黑"/>
        <family val="2"/>
        <charset val="134"/>
      </rPr>
      <t xml:space="preserve">  </t>
    </r>
    <r>
      <rPr>
        <sz val="10"/>
        <rFont val="Times New Roman"/>
        <family val="1"/>
      </rPr>
      <t xml:space="preserve">AC 1000/DC 1500V </t>
    </r>
    <phoneticPr fontId="7" type="noConversion"/>
  </si>
  <si>
    <t>26.3.11周晓斌新的报价加在汇总表下方</t>
    <phoneticPr fontId="7" type="noConversion"/>
  </si>
  <si>
    <r>
      <t>125</t>
    </r>
    <r>
      <rPr>
        <sz val="12"/>
        <rFont val="Segoe UI Symbol"/>
        <family val="2"/>
      </rPr>
      <t xml:space="preserve">℃ </t>
    </r>
    <r>
      <rPr>
        <sz val="12"/>
        <rFont val="Times New Roman"/>
        <family val="1"/>
      </rPr>
      <t>XLPE EX9201804  ID:5.6mm*1C</t>
    </r>
    <phoneticPr fontId="7" type="noConversion"/>
  </si>
  <si>
    <r>
      <t>EVBA06D01  4mm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 85%
-40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>~125</t>
    </r>
    <r>
      <rPr>
        <sz val="10"/>
        <rFont val="Segoe UI Symbol"/>
        <family val="2"/>
      </rPr>
      <t>℃</t>
    </r>
    <r>
      <rPr>
        <sz val="10"/>
        <rFont val="微软雅黑"/>
        <family val="2"/>
        <charset val="134"/>
      </rPr>
      <t xml:space="preserve">  AC 600</t>
    </r>
    <r>
      <rPr>
        <sz val="10"/>
        <rFont val="Times New Roman"/>
        <family val="1"/>
      </rPr>
      <t xml:space="preserve">/DC1000V </t>
    </r>
    <phoneticPr fontId="7" type="noConversion"/>
  </si>
  <si>
    <t>125度新报价，150度利润8%</t>
    <phoneticPr fontId="7" type="noConversion"/>
  </si>
  <si>
    <t>2368/0.20BC</t>
    <phoneticPr fontId="41" type="noConversion"/>
  </si>
  <si>
    <r>
      <t>FHLR2G 70mm</t>
    </r>
    <r>
      <rPr>
        <vertAlign val="superscript"/>
        <sz val="10"/>
        <rFont val="Times New Roman"/>
        <family val="1"/>
      </rPr>
      <t xml:space="preserve">2 </t>
    </r>
    <r>
      <rPr>
        <sz val="10"/>
        <rFont val="Times New Roman"/>
        <family val="1"/>
      </rPr>
      <t xml:space="preserve">
-40~180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 xml:space="preserve">  600V AC/1000V DC</t>
    </r>
    <phoneticPr fontId="7" type="noConversion"/>
  </si>
  <si>
    <t>柳州德泰纳运费：798元/吨+5吨以下送货费/次220元</t>
    <phoneticPr fontId="7" type="noConversion"/>
  </si>
  <si>
    <t>26.3.20</t>
    <phoneticPr fontId="7" type="noConversion"/>
  </si>
  <si>
    <t>24.8.20</t>
    <phoneticPr fontId="7" type="noConversion"/>
  </si>
  <si>
    <t>客户目标价</t>
  </si>
  <si>
    <t>2026.4.17</t>
    <phoneticPr fontId="7" type="noConversion"/>
  </si>
  <si>
    <t>其他费用</t>
  </si>
  <si>
    <t>内部无该款线缆
95平方非屏蔽线（橙色 φ16.9±0.5 交联 -40~125℃）</t>
  </si>
  <si>
    <t>（？）4平方单芯屏蔽线 （橙色 φ5.60±0.10 交联 -40~125℃ 铜包铝屏蔽：编制密度85%）</t>
  </si>
  <si>
    <t>EV-YJ-95-001</t>
    <phoneticPr fontId="7" type="noConversion"/>
  </si>
  <si>
    <t>800木轴  300米</t>
    <phoneticPr fontId="25" type="noConversion"/>
  </si>
  <si>
    <t>3056/0.196BC</t>
  </si>
  <si>
    <r>
      <t>EV-YJ 95mm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
-40~125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 xml:space="preserve">  AC1000V/DC1500V</t>
    </r>
  </si>
  <si>
    <t xml:space="preserve">3056/0.196BC*1C  </t>
  </si>
  <si>
    <r>
      <rPr>
        <sz val="12"/>
        <color indexed="8"/>
        <rFont val="Times New Roman"/>
        <family val="1"/>
      </rPr>
      <t>125</t>
    </r>
    <r>
      <rPr>
        <sz val="12"/>
        <color indexed="8"/>
        <rFont val="Segoe UI Symbol"/>
        <family val="2"/>
      </rPr>
      <t>℃</t>
    </r>
    <r>
      <rPr>
        <sz val="12"/>
        <color indexed="8"/>
        <rFont val="Microsoft YaHei UI"/>
        <family val="2"/>
        <charset val="134"/>
      </rPr>
      <t>车内高压线</t>
    </r>
    <r>
      <rPr>
        <sz val="12"/>
        <color indexed="8"/>
        <rFont val="Times New Roman"/>
        <family val="1"/>
      </rPr>
      <t>XLPE  EX8004704</t>
    </r>
    <r>
      <rPr>
        <b/>
        <sz val="12"/>
        <color indexed="8"/>
        <rFont val="Times New Roman"/>
        <family val="1"/>
      </rPr>
      <t xml:space="preserve">  </t>
    </r>
    <r>
      <rPr>
        <sz val="12"/>
        <rFont val="Times New Roman"/>
        <family val="1"/>
      </rPr>
      <t xml:space="preserve">ID:16.9mm*1C </t>
    </r>
    <phoneticPr fontId="7" type="noConversion"/>
  </si>
  <si>
    <t>其他费用</t>
    <phoneticPr fontId="25" type="noConversion"/>
  </si>
  <si>
    <r>
      <t>EVP-YJ  4mm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 85%
-40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>~125</t>
    </r>
    <r>
      <rPr>
        <sz val="10"/>
        <rFont val="Segoe UI Symbol"/>
        <family val="2"/>
      </rPr>
      <t>℃</t>
    </r>
    <r>
      <rPr>
        <sz val="10"/>
        <rFont val="微软雅黑"/>
        <family val="2"/>
        <charset val="134"/>
      </rPr>
      <t xml:space="preserve">  AC 600</t>
    </r>
    <r>
      <rPr>
        <sz val="10"/>
        <rFont val="Times New Roman"/>
        <family val="1"/>
      </rPr>
      <t xml:space="preserve">/DC1000V </t>
    </r>
    <phoneticPr fontId="7" type="noConversion"/>
  </si>
  <si>
    <t>铝重</t>
    <phoneticPr fontId="7" type="noConversion"/>
  </si>
  <si>
    <t>一样</t>
    <phoneticPr fontId="7" type="noConversion"/>
  </si>
  <si>
    <t>2026.4.22</t>
    <phoneticPr fontId="7" type="noConversion"/>
  </si>
  <si>
    <t>FHLR2G-70-003</t>
    <phoneticPr fontId="41" type="noConversion"/>
  </si>
  <si>
    <t>2026.4.22</t>
    <phoneticPr fontId="41" type="noConversion"/>
  </si>
  <si>
    <r>
      <rPr>
        <sz val="12"/>
        <rFont val="宋体"/>
        <family val="3"/>
        <charset val="134"/>
      </rPr>
      <t>车内高压线硅胶</t>
    </r>
    <r>
      <rPr>
        <sz val="12"/>
        <rFont val="Times New Roman"/>
        <family val="3"/>
      </rPr>
      <t>D1772700J</t>
    </r>
    <r>
      <rPr>
        <sz val="12"/>
        <rFont val="Times New Roman"/>
        <family val="1"/>
      </rPr>
      <t xml:space="preserve"> 14.7mm </t>
    </r>
    <phoneticPr fontId="7" type="noConversion"/>
  </si>
  <si>
    <t>FHLR2G-95-001</t>
    <phoneticPr fontId="15" type="noConversion"/>
  </si>
  <si>
    <t>800木轴 400米</t>
  </si>
  <si>
    <t>3056/0.20BC</t>
  </si>
  <si>
    <r>
      <t>FHLR2G  95mm2
-40~180</t>
    </r>
    <r>
      <rPr>
        <sz val="10"/>
        <rFont val="Segoe UI Symbol"/>
        <family val="1"/>
      </rPr>
      <t>℃</t>
    </r>
    <r>
      <rPr>
        <sz val="10"/>
        <rFont val="Times New Roman"/>
        <family val="1"/>
      </rPr>
      <t xml:space="preserve">  600V AC/1000V DC</t>
    </r>
    <phoneticPr fontId="15" type="noConversion"/>
  </si>
  <si>
    <t>详细规格</t>
    <phoneticPr fontId="1" type="noConversion"/>
  </si>
  <si>
    <t>3056/0.20BC*1C</t>
    <phoneticPr fontId="15" type="noConversion"/>
  </si>
  <si>
    <r>
      <rPr>
        <sz val="12"/>
        <rFont val="宋体"/>
        <family val="3"/>
        <charset val="134"/>
      </rPr>
      <t>车内高压线硅胶</t>
    </r>
    <r>
      <rPr>
        <sz val="12"/>
        <rFont val="Times New Roman"/>
        <family val="3"/>
      </rPr>
      <t xml:space="preserve">D1772700J </t>
    </r>
    <r>
      <rPr>
        <sz val="12"/>
        <rFont val="Times New Roman"/>
        <family val="1"/>
      </rPr>
      <t xml:space="preserve"> 16.9mm </t>
    </r>
    <phoneticPr fontId="15" type="noConversion"/>
  </si>
  <si>
    <t>其他费用</t>
    <phoneticPr fontId="1" type="noConversion"/>
  </si>
  <si>
    <r>
      <rPr>
        <sz val="12"/>
        <color indexed="8"/>
        <rFont val="Times New Roman"/>
        <family val="1"/>
      </rPr>
      <t>125</t>
    </r>
    <r>
      <rPr>
        <sz val="12"/>
        <color rgb="FF000000"/>
        <rFont val="Times New Roman"/>
        <family val="2"/>
      </rPr>
      <t>℃</t>
    </r>
    <r>
      <rPr>
        <sz val="12"/>
        <color indexed="8"/>
        <rFont val="Microsoft YaHei UI"/>
        <family val="2"/>
        <charset val="134"/>
      </rPr>
      <t>车内高压线</t>
    </r>
    <r>
      <rPr>
        <sz val="12"/>
        <color indexed="8"/>
        <rFont val="Times New Roman"/>
        <family val="1"/>
      </rPr>
      <t>XLPE  EX8004704</t>
    </r>
    <r>
      <rPr>
        <b/>
        <sz val="12"/>
        <color indexed="8"/>
        <rFont val="Times New Roman"/>
        <family val="1"/>
      </rPr>
      <t xml:space="preserve">  </t>
    </r>
    <r>
      <rPr>
        <sz val="12"/>
        <rFont val="Times New Roman"/>
        <family val="1"/>
      </rPr>
      <t xml:space="preserve">ID:16.9mm*1C </t>
    </r>
    <phoneticPr fontId="7" type="noConversion"/>
  </si>
  <si>
    <t>50平方单芯屏蔽线橙色 φ15.50±0.30 硅橡胶 -40~180℃ 编制密度85%</t>
  </si>
  <si>
    <t>26.2.25旧单价</t>
    <phoneticPr fontId="7" type="noConversion"/>
  </si>
  <si>
    <t xml:space="preserve">2368/0.194BC
车内高压线硅胶   14.7mm 
橙色 φ14.7±0.20 硅胶 -40℃~180℃ </t>
    <phoneticPr fontId="7" type="noConversion"/>
  </si>
  <si>
    <t>25.12.23</t>
    <phoneticPr fontId="7" type="noConversion"/>
  </si>
  <si>
    <r>
      <t>EV-YJ 95mm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
-40~125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 xml:space="preserve">  AC1000V/DC1500V</t>
    </r>
    <phoneticPr fontId="7" type="noConversion"/>
  </si>
  <si>
    <t>EV-YJ 95mm2
-40~125℃  AC1000V/DC1500V
3056/0.196BC
125℃车内高压线XLPE   ID:16.9mm*1C</t>
    <phoneticPr fontId="7" type="noConversion"/>
  </si>
  <si>
    <t>报价铝重基准（kg/km）</t>
    <phoneticPr fontId="7" type="noConversion"/>
  </si>
  <si>
    <t>报价铝价基准
元/kg（含税）</t>
    <phoneticPr fontId="7" type="noConversion"/>
  </si>
  <si>
    <t>报价铝价基准
元/kg（不含税）</t>
    <phoneticPr fontId="7" type="noConversion"/>
  </si>
  <si>
    <t>26.4.22</t>
    <phoneticPr fontId="7" type="noConversion"/>
  </si>
  <si>
    <t>353009001</t>
    <phoneticPr fontId="7" type="noConversion"/>
  </si>
  <si>
    <t>133/0.254TC*1C</t>
    <phoneticPr fontId="7" type="noConversion"/>
  </si>
  <si>
    <r>
      <t>UL3530 9</t>
    </r>
    <r>
      <rPr>
        <sz val="10"/>
        <rFont val="宋体"/>
        <family val="3"/>
        <charset val="134"/>
      </rPr>
      <t>AWG*1C</t>
    </r>
    <phoneticPr fontId="7" type="noConversion"/>
  </si>
  <si>
    <r>
      <t>D17526001 200</t>
    </r>
    <r>
      <rPr>
        <sz val="12"/>
        <rFont val="Segoe UI Symbol"/>
        <family val="3"/>
      </rPr>
      <t>℃</t>
    </r>
    <r>
      <rPr>
        <sz val="12"/>
        <rFont val="微软雅黑"/>
        <family val="2"/>
        <charset val="134"/>
      </rPr>
      <t>硅橡胶</t>
    </r>
    <r>
      <rPr>
        <sz val="12"/>
        <rFont val="Times New Roman"/>
        <family val="1"/>
      </rPr>
      <t xml:space="preserve"> OD:6.0mm   </t>
    </r>
    <phoneticPr fontId="7" type="noConversion"/>
  </si>
  <si>
    <r>
      <t>废品损耗</t>
    </r>
    <r>
      <rPr>
        <sz val="10"/>
        <color indexed="10"/>
        <rFont val="新細明體"/>
        <family val="1"/>
      </rPr>
      <t>(%)</t>
    </r>
    <phoneticPr fontId="13" type="noConversion"/>
  </si>
  <si>
    <t>倒线</t>
    <phoneticPr fontId="13" type="noConversion"/>
  </si>
  <si>
    <t>PVC色母</t>
    <phoneticPr fontId="15" type="noConversion"/>
  </si>
  <si>
    <t>SPC***001</t>
    <phoneticPr fontId="15" type="noConversion"/>
  </si>
  <si>
    <t>FLR2X-A-050-002</t>
    <phoneticPr fontId="7" type="noConversion"/>
  </si>
  <si>
    <t>19/0.19BC</t>
    <phoneticPr fontId="7" type="noConversion"/>
  </si>
  <si>
    <r>
      <t>FLR2X-A  0.5mm</t>
    </r>
    <r>
      <rPr>
        <vertAlign val="superscript"/>
        <sz val="10"/>
        <rFont val="Times New Roman"/>
        <family val="1"/>
      </rPr>
      <t>2</t>
    </r>
    <phoneticPr fontId="7" type="noConversion"/>
  </si>
  <si>
    <r>
      <t xml:space="preserve">19/0.18BC*1C </t>
    </r>
    <r>
      <rPr>
        <sz val="12"/>
        <rFont val="宋体"/>
        <family val="1"/>
        <charset val="134"/>
      </rPr>
      <t>下限0.176</t>
    </r>
    <phoneticPr fontId="7" type="noConversion"/>
  </si>
  <si>
    <r>
      <t>125</t>
    </r>
    <r>
      <rPr>
        <sz val="12"/>
        <rFont val="Segoe UI Symbol"/>
        <family val="3"/>
      </rPr>
      <t>℃</t>
    </r>
    <r>
      <rPr>
        <sz val="12"/>
        <rFont val="Times New Roman"/>
        <family val="1"/>
      </rPr>
      <t xml:space="preserve"> XLPE </t>
    </r>
    <r>
      <rPr>
        <sz val="12"/>
        <rFont val="宋体"/>
        <family val="1"/>
        <charset val="134"/>
      </rPr>
      <t>美昱</t>
    </r>
    <r>
      <rPr>
        <sz val="12"/>
        <rFont val="Times New Roman"/>
        <family val="1"/>
      </rPr>
      <t xml:space="preserve">EX6026D01 OD:1.5mm </t>
    </r>
    <phoneticPr fontId="7" type="noConversion"/>
  </si>
  <si>
    <t>FLR2X-B-050-004</t>
    <phoneticPr fontId="7" type="noConversion"/>
  </si>
  <si>
    <t>FLRY-B-050-004</t>
    <phoneticPr fontId="7" type="noConversion"/>
  </si>
  <si>
    <t>卷</t>
    <phoneticPr fontId="15" type="noConversion"/>
  </si>
  <si>
    <t xml:space="preserve">16/0.194BC </t>
    <phoneticPr fontId="7" type="noConversion"/>
  </si>
  <si>
    <r>
      <t>FLRY-B  0.5mm</t>
    </r>
    <r>
      <rPr>
        <vertAlign val="superscript"/>
        <sz val="10"/>
        <rFont val="Times New Roman"/>
        <family val="1"/>
      </rPr>
      <t>2</t>
    </r>
    <phoneticPr fontId="7" type="noConversion"/>
  </si>
  <si>
    <t xml:space="preserve">105℃ PVC CV50N0101  OD:1.50mm </t>
    <phoneticPr fontId="7" type="noConversion"/>
  </si>
  <si>
    <t>FHLR2GCB2G-35-004</t>
    <phoneticPr fontId="41" type="noConversion"/>
  </si>
  <si>
    <t xml:space="preserve">6010522 800木轴 600米 </t>
    <phoneticPr fontId="41" type="noConversion"/>
  </si>
  <si>
    <t>2026.4.27</t>
    <phoneticPr fontId="41" type="noConversion"/>
  </si>
  <si>
    <r>
      <t>FHLR2GCB2G 35 mm</t>
    </r>
    <r>
      <rPr>
        <vertAlign val="superscript"/>
        <sz val="10"/>
        <rFont val="Times New Roman"/>
        <family val="1"/>
      </rPr>
      <t xml:space="preserve">2 </t>
    </r>
    <r>
      <rPr>
        <sz val="10"/>
        <rFont val="宋体"/>
        <family val="3"/>
        <charset val="134"/>
      </rPr>
      <t>编织85%</t>
    </r>
    <r>
      <rPr>
        <sz val="10"/>
        <rFont val="Times New Roman"/>
        <family val="1"/>
      </rPr>
      <t xml:space="preserve">
-40~180</t>
    </r>
    <r>
      <rPr>
        <sz val="10"/>
        <rFont val="Segoe UI Symbol"/>
        <family val="2"/>
      </rPr>
      <t>℃</t>
    </r>
    <r>
      <rPr>
        <sz val="10"/>
        <rFont val="Times New Roman"/>
        <family val="1"/>
      </rPr>
      <t xml:space="preserve">  600V AC/1000V DC</t>
    </r>
    <phoneticPr fontId="7" type="noConversion"/>
  </si>
  <si>
    <r>
      <rPr>
        <sz val="12"/>
        <rFont val="宋体"/>
        <family val="3"/>
        <charset val="134"/>
      </rPr>
      <t>车内高压线硅胶</t>
    </r>
    <r>
      <rPr>
        <sz val="12"/>
        <rFont val="Times New Roman"/>
        <family val="1"/>
      </rPr>
      <t xml:space="preserve"> D1772700H OD: 14.1mm </t>
    </r>
    <phoneticPr fontId="7" type="noConversion"/>
  </si>
  <si>
    <r>
      <t>FLR2X 0.5A</t>
    </r>
    <r>
      <rPr>
        <sz val="11"/>
        <color rgb="FF000000"/>
        <rFont val="Microsoft YaHei UI"/>
        <family val="2"/>
        <charset val="134"/>
      </rPr>
      <t>（交联）</t>
    </r>
    <phoneticPr fontId="7" type="noConversion"/>
  </si>
  <si>
    <r>
      <t>FLR2X 0.5B</t>
    </r>
    <r>
      <rPr>
        <sz val="11"/>
        <color rgb="FF000000"/>
        <rFont val="Microsoft YaHei UI"/>
        <family val="2"/>
        <charset val="134"/>
      </rPr>
      <t>（交联）</t>
    </r>
    <phoneticPr fontId="7" type="noConversion"/>
  </si>
  <si>
    <t>FLR2X 0.5（PVC）</t>
    <phoneticPr fontId="7" type="noConversion"/>
  </si>
  <si>
    <r>
      <t>125</t>
    </r>
    <r>
      <rPr>
        <sz val="12"/>
        <rFont val="Times New Roman"/>
        <family val="3"/>
      </rPr>
      <t>℃</t>
    </r>
    <r>
      <rPr>
        <sz val="12"/>
        <rFont val="Times New Roman"/>
        <family val="1"/>
      </rPr>
      <t xml:space="preserve"> XLPE </t>
    </r>
    <r>
      <rPr>
        <sz val="12"/>
        <rFont val="宋体"/>
        <family val="1"/>
        <charset val="134"/>
      </rPr>
      <t>中旭</t>
    </r>
    <r>
      <rPr>
        <sz val="12"/>
        <rFont val="Times New Roman"/>
        <family val="1"/>
      </rPr>
      <t xml:space="preserve">EX6064AH4  OD:1.7mm   </t>
    </r>
    <phoneticPr fontId="7" type="noConversion"/>
  </si>
  <si>
    <r>
      <rPr>
        <sz val="12"/>
        <rFont val="宋体"/>
        <family val="3"/>
        <charset val="134"/>
      </rPr>
      <t>车内高压线硅胶</t>
    </r>
    <r>
      <rPr>
        <sz val="12"/>
        <rFont val="Times New Roman"/>
        <family val="3"/>
      </rPr>
      <t xml:space="preserve"> D1772700J ID:</t>
    </r>
    <r>
      <rPr>
        <sz val="12"/>
        <rFont val="Times New Roman"/>
        <family val="1"/>
      </rPr>
      <t>10.15mm</t>
    </r>
    <phoneticPr fontId="7" type="noConversion"/>
  </si>
  <si>
    <t>FLR2X-A-050-002</t>
  </si>
  <si>
    <t>线径与旧报价不同</t>
    <phoneticPr fontId="7" type="noConversion"/>
  </si>
  <si>
    <t>根据新用量重新报价</t>
    <phoneticPr fontId="7" type="noConversion"/>
  </si>
  <si>
    <t>月结90天/承兑，无信保，2.5/4平方有0.5%佣金给五菱，大平方有0.5%佣金给德泰纳</t>
  </si>
  <si>
    <t>武汉，800木轴运费：800元/吨+200/趟送货费</t>
  </si>
  <si>
    <t>FLR2X-B-050-004</t>
  </si>
  <si>
    <t>FLRY-B-050-004</t>
  </si>
  <si>
    <t xml:space="preserve">FLR2X-A  0.5mm2
19/0.19BC
125℃ XLPE  OD:1.5mm </t>
    <phoneticPr fontId="7" type="noConversion"/>
  </si>
  <si>
    <t>FLR2X-A  0.5mm2</t>
  </si>
  <si>
    <t xml:space="preserve">FLR2X-B 0.5mm2
16/0.194BC
125℃ XLPE OD:1.7mm 
</t>
    <phoneticPr fontId="7" type="noConversion"/>
  </si>
  <si>
    <t>FLR2X-B 0.5mm2</t>
  </si>
  <si>
    <t xml:space="preserve">FLRY-B  0.5mm2
16/0.194BC
105℃ PVC OD:1.50mm
</t>
    <phoneticPr fontId="7" type="noConversion"/>
  </si>
  <si>
    <t>FLRY-B  0.5mm2</t>
  </si>
  <si>
    <t>EV-YJ-4-005</t>
    <phoneticPr fontId="7" type="noConversion"/>
  </si>
  <si>
    <t>2026.4.27</t>
    <phoneticPr fontId="7" type="noConversion"/>
  </si>
  <si>
    <t>4平方单芯非屏蔽线</t>
    <phoneticPr fontId="7" type="noConversion"/>
  </si>
  <si>
    <r>
      <t>EV-YJ  4mm</t>
    </r>
    <r>
      <rPr>
        <vertAlign val="superscript"/>
        <sz val="10"/>
        <rFont val="宋体"/>
        <family val="3"/>
        <charset val="134"/>
      </rPr>
      <t>2</t>
    </r>
    <r>
      <rPr>
        <sz val="10"/>
        <rFont val="宋体"/>
        <family val="3"/>
        <charset val="134"/>
      </rPr>
      <t xml:space="preserve">
-40~125℃ DC 1000V</t>
    </r>
    <phoneticPr fontId="7" type="noConversion"/>
  </si>
  <si>
    <t>125℃车内高压线XLPE  ID:4.2mm*1C EX87329**</t>
    <phoneticPr fontId="7" type="noConversion"/>
  </si>
  <si>
    <r>
      <t>125</t>
    </r>
    <r>
      <rPr>
        <sz val="12"/>
        <rFont val="Times New Roman"/>
        <family val="2"/>
      </rPr>
      <t>℃</t>
    </r>
    <r>
      <rPr>
        <sz val="12"/>
        <rFont val="微软雅黑"/>
        <family val="2"/>
        <charset val="134"/>
      </rPr>
      <t>车内高压线</t>
    </r>
    <r>
      <rPr>
        <sz val="12"/>
        <rFont val="Times New Roman"/>
        <family val="1"/>
      </rPr>
      <t>XLPE  ID:4.2mm*1C  EX9201804</t>
    </r>
    <phoneticPr fontId="7" type="noConversion"/>
  </si>
  <si>
    <t>2026.03.17</t>
    <phoneticPr fontId="7" type="noConversion"/>
  </si>
  <si>
    <t>苏州美昱新材料股份有限公司</t>
    <phoneticPr fontId="7" type="noConversion"/>
  </si>
  <si>
    <t>125℃辐照交联电动汽车用XLPO电缆料,橙色RAL2003(MG80018S-125),硬度92±2A，比重1.35±0.05,环保符合HL-00</t>
    <phoneticPr fontId="7" type="noConversion"/>
  </si>
  <si>
    <t>EX8732903（红）EX8732911(黑)最新单价11.68,按照未税12.83</t>
    <phoneticPr fontId="7" type="noConversion"/>
  </si>
  <si>
    <r>
      <t>125</t>
    </r>
    <r>
      <rPr>
        <sz val="12"/>
        <rFont val="Times New Roman"/>
        <family val="3"/>
      </rPr>
      <t>℃</t>
    </r>
    <r>
      <rPr>
        <sz val="12"/>
        <rFont val="Times New Roman"/>
        <family val="1"/>
      </rPr>
      <t xml:space="preserve"> XLPE </t>
    </r>
    <r>
      <rPr>
        <sz val="12"/>
        <rFont val="宋体"/>
        <family val="1"/>
        <charset val="134"/>
      </rPr>
      <t>美昱</t>
    </r>
    <r>
      <rPr>
        <sz val="12"/>
        <rFont val="Times New Roman"/>
        <family val="1"/>
      </rPr>
      <t xml:space="preserve">EX6026D01 OD:1.5mm </t>
    </r>
    <phoneticPr fontId="7" type="noConversion"/>
  </si>
  <si>
    <r>
      <t>105</t>
    </r>
    <r>
      <rPr>
        <sz val="12"/>
        <rFont val="Segoe UI Symbol"/>
        <family val="1"/>
      </rPr>
      <t>℃</t>
    </r>
    <r>
      <rPr>
        <sz val="12"/>
        <rFont val="Times New Roman"/>
        <family val="1"/>
      </rPr>
      <t xml:space="preserve"> PVC CV50N0101  OD:1.50mm </t>
    </r>
    <phoneticPr fontId="7" type="noConversion"/>
  </si>
  <si>
    <t>26.4.28</t>
    <phoneticPr fontId="7" type="noConversion"/>
  </si>
  <si>
    <t>0.467931</t>
    <phoneticPr fontId="7" type="noConversion"/>
  </si>
  <si>
    <t>6010761 600木轴 1800米</t>
    <phoneticPr fontId="7" type="noConversion"/>
  </si>
  <si>
    <t>2026.5.6</t>
    <phoneticPr fontId="7" type="noConversion"/>
  </si>
  <si>
    <r>
      <t xml:space="preserve">16/5/0.20 TA </t>
    </r>
    <r>
      <rPr>
        <b/>
        <sz val="12"/>
        <color indexed="10"/>
        <rFont val="宋体"/>
        <family val="3"/>
        <charset val="134"/>
      </rPr>
      <t>镀锡</t>
    </r>
    <r>
      <rPr>
        <b/>
        <sz val="12"/>
        <color indexed="10"/>
        <rFont val="宋体"/>
        <family val="3"/>
        <charset val="134"/>
      </rPr>
      <t>铜包铝编织</t>
    </r>
    <r>
      <rPr>
        <b/>
        <sz val="12"/>
        <color indexed="10"/>
        <rFont val="Times New Roman"/>
        <family val="1"/>
      </rPr>
      <t xml:space="preserve"> </t>
    </r>
    <r>
      <rPr>
        <b/>
        <sz val="12"/>
        <color indexed="10"/>
        <rFont val="Times New Roman"/>
        <family val="1"/>
      </rPr>
      <t xml:space="preserve"> 20%</t>
    </r>
    <r>
      <rPr>
        <b/>
        <sz val="12"/>
        <color indexed="10"/>
        <rFont val="宋体"/>
        <family val="3"/>
        <charset val="134"/>
      </rPr>
      <t>体积比</t>
    </r>
    <phoneticPr fontId="7" type="noConversion"/>
  </si>
  <si>
    <t>EVP-YJ-3-004</t>
    <phoneticPr fontId="7" type="noConversion"/>
  </si>
  <si>
    <t xml:space="preserve"> 6010760 600木轴 1800米</t>
    <phoneticPr fontId="7" type="noConversion"/>
  </si>
  <si>
    <r>
      <t>125</t>
    </r>
    <r>
      <rPr>
        <sz val="12"/>
        <rFont val="Times New Roman"/>
        <family val="1"/>
      </rPr>
      <t xml:space="preserve">℃ </t>
    </r>
    <r>
      <rPr>
        <sz val="12"/>
        <rFont val="Times New Roman"/>
        <family val="1"/>
      </rPr>
      <t>XLPE   ID:3.6mm*1C EX9201804</t>
    </r>
  </si>
  <si>
    <r>
      <t>125</t>
    </r>
    <r>
      <rPr>
        <sz val="12"/>
        <rFont val="Segoe UI Symbol"/>
        <family val="2"/>
      </rPr>
      <t>℃</t>
    </r>
    <r>
      <rPr>
        <sz val="12"/>
        <rFont val="Times New Roman"/>
        <family val="1"/>
      </rPr>
      <t xml:space="preserve"> XLPE  ID:5.60mm*1C EX9201804</t>
    </r>
    <phoneticPr fontId="7" type="noConversion"/>
  </si>
  <si>
    <t>EVP-YJ-3*2.5-001</t>
    <phoneticPr fontId="7" type="noConversion"/>
  </si>
  <si>
    <t>6010444  800轴 800米</t>
    <phoneticPr fontId="7" type="noConversion"/>
  </si>
  <si>
    <r>
      <t>125</t>
    </r>
    <r>
      <rPr>
        <sz val="12"/>
        <rFont val="Segoe UI Symbol"/>
        <family val="2"/>
      </rPr>
      <t>℃</t>
    </r>
    <r>
      <rPr>
        <sz val="12"/>
        <rFont val="Times New Roman"/>
        <family val="1"/>
      </rPr>
      <t xml:space="preserve"> XLPE  EX9201804 ID:3.5mm*3C</t>
    </r>
    <phoneticPr fontId="7" type="noConversion"/>
  </si>
  <si>
    <r>
      <rPr>
        <sz val="12"/>
        <rFont val="Calibri"/>
        <family val="2"/>
      </rPr>
      <t>Φ3</t>
    </r>
    <r>
      <rPr>
        <sz val="10.8"/>
        <rFont val="宋体"/>
        <family val="3"/>
        <charset val="134"/>
      </rPr>
      <t>聚丙烯撕裂带</t>
    </r>
    <phoneticPr fontId="7" type="noConversion"/>
  </si>
  <si>
    <t>24/8/0.15TC</t>
    <phoneticPr fontId="7" type="noConversion"/>
  </si>
  <si>
    <r>
      <t>125</t>
    </r>
    <r>
      <rPr>
        <sz val="12"/>
        <rFont val="Segoe UI Symbol"/>
        <family val="2"/>
      </rPr>
      <t>℃</t>
    </r>
    <r>
      <rPr>
        <sz val="12"/>
        <rFont val="Times New Roman"/>
        <family val="1"/>
      </rPr>
      <t>XLPE EX8004704  ID:11.3mm*1C</t>
    </r>
    <phoneticPr fontId="7" type="noConversion"/>
  </si>
  <si>
    <r>
      <t>EVP-YJ  3*2.5 mm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
-40</t>
    </r>
    <r>
      <rPr>
        <sz val="10"/>
        <rFont val="Times New Roman"/>
        <family val="2"/>
      </rPr>
      <t>℃</t>
    </r>
    <r>
      <rPr>
        <sz val="10"/>
        <rFont val="Times New Roman"/>
        <family val="1"/>
      </rPr>
      <t>~125</t>
    </r>
    <r>
      <rPr>
        <sz val="10"/>
        <rFont val="Times New Roman"/>
        <family val="2"/>
      </rPr>
      <t>℃</t>
    </r>
    <r>
      <rPr>
        <sz val="10"/>
        <rFont val="Times New Roman"/>
        <family val="1"/>
      </rPr>
      <t xml:space="preserve">  AC 1000/DC1500V </t>
    </r>
    <phoneticPr fontId="7" type="noConversion"/>
  </si>
  <si>
    <t>交联125℃ 带屏蔽 1500V    OD：10.00</t>
    <phoneticPr fontId="7" type="noConversion"/>
  </si>
  <si>
    <t>EVBA  3*2.5mm2
-40~125℃ AC1000V/DC1500V
80/0.194BC*3C
125℃ XLPE ID:10.0mm*1C</t>
    <phoneticPr fontId="7" type="noConversion"/>
  </si>
  <si>
    <t>24.12电缆成本分析表</t>
    <phoneticPr fontId="7" type="noConversion"/>
  </si>
  <si>
    <t>EVBA  3*2.5mm2
-40~125℃
AC1000V/DC1500V</t>
  </si>
  <si>
    <t>140/0.150BC*3C
125℃车内高压线XLPE ID:10.0mm*1C</t>
  </si>
  <si>
    <t>104</t>
    <phoneticPr fontId="7" type="noConversion"/>
  </si>
  <si>
    <t>类似规格仅参考</t>
    <phoneticPr fontId="7" type="noConversion"/>
  </si>
  <si>
    <t>改用量产料</t>
    <phoneticPr fontId="7" type="noConversion"/>
  </si>
  <si>
    <t>0.499992</t>
    <phoneticPr fontId="7" type="noConversion"/>
  </si>
  <si>
    <t>0.532055</t>
    <phoneticPr fontId="7" type="noConversion"/>
  </si>
  <si>
    <r>
      <t xml:space="preserve">16/5/0.20 TA </t>
    </r>
    <r>
      <rPr>
        <b/>
        <sz val="12"/>
        <color indexed="10"/>
        <rFont val="宋体"/>
        <family val="3"/>
        <charset val="134"/>
      </rPr>
      <t>镀锡铜包铝编织</t>
    </r>
    <r>
      <rPr>
        <b/>
        <sz val="12"/>
        <color indexed="10"/>
        <rFont val="Times New Roman"/>
        <family val="1"/>
      </rPr>
      <t xml:space="preserve">  20%</t>
    </r>
    <r>
      <rPr>
        <b/>
        <sz val="12"/>
        <color indexed="10"/>
        <rFont val="宋体"/>
        <family val="3"/>
        <charset val="134"/>
      </rPr>
      <t>体积比</t>
    </r>
    <r>
      <rPr>
        <b/>
        <sz val="12"/>
        <color rgb="FFFF0000"/>
        <rFont val="Times New Roman"/>
        <family val="1"/>
      </rPr>
      <t xml:space="preserve">    45%</t>
    </r>
    <r>
      <rPr>
        <b/>
        <sz val="12"/>
        <color rgb="FFFF0000"/>
        <rFont val="宋体"/>
        <family val="1"/>
        <charset val="134"/>
      </rPr>
      <t>含铜量</t>
    </r>
    <phoneticPr fontId="7" type="noConversion"/>
  </si>
  <si>
    <r>
      <rPr>
        <sz val="11"/>
        <color rgb="FF000000"/>
        <rFont val="宋体"/>
        <family val="3"/>
        <charset val="134"/>
      </rPr>
      <t>铜</t>
    </r>
    <r>
      <rPr>
        <sz val="11"/>
        <color rgb="FF000000"/>
        <rFont val="Arial"/>
        <family val="2"/>
      </rPr>
      <t>*0.45+</t>
    </r>
    <r>
      <rPr>
        <sz val="11"/>
        <color rgb="FF000000"/>
        <rFont val="宋体"/>
        <family val="3"/>
        <charset val="134"/>
      </rPr>
      <t>铝</t>
    </r>
    <r>
      <rPr>
        <sz val="11"/>
        <color rgb="FF000000"/>
        <rFont val="Arial"/>
        <family val="2"/>
      </rPr>
      <t>*0.55+</t>
    </r>
    <r>
      <rPr>
        <sz val="11"/>
        <color rgb="FF000000"/>
        <rFont val="宋体"/>
        <family val="3"/>
        <charset val="134"/>
      </rPr>
      <t>加工费</t>
    </r>
    <r>
      <rPr>
        <sz val="11"/>
        <color rgb="FF000000"/>
        <rFont val="Arial"/>
        <family val="2"/>
      </rPr>
      <t>31500</t>
    </r>
    <phoneticPr fontId="7" type="noConversion"/>
  </si>
  <si>
    <t>26000</t>
    <phoneticPr fontId="7" type="noConversion"/>
  </si>
  <si>
    <t>EVP-YJ-4-006</t>
  </si>
  <si>
    <t>25.4.21电缆成本分析表--14</t>
    <phoneticPr fontId="7" type="noConversion"/>
  </si>
  <si>
    <t>EVP-YJ  4mm2  85%
-40℃~125℃  AC 600/DC1000V
128/0.194BC
125℃ XLPE   ID:5.6mm*1C</t>
    <phoneticPr fontId="7" type="noConversion"/>
  </si>
  <si>
    <t>首次报价</t>
    <phoneticPr fontId="7" type="noConversion"/>
  </si>
  <si>
    <t>降价</t>
    <phoneticPr fontId="7" type="noConversion"/>
  </si>
  <si>
    <t xml:space="preserve">6010634 /6010445  800木轴 500 米 </t>
    <phoneticPr fontId="41" type="noConversion"/>
  </si>
  <si>
    <t>2026.5.7</t>
    <phoneticPr fontId="7" type="noConversion"/>
  </si>
  <si>
    <r>
      <rPr>
        <sz val="12"/>
        <rFont val="宋体"/>
        <family val="3"/>
        <charset val="134"/>
      </rPr>
      <t xml:space="preserve">车内高压线硅胶 </t>
    </r>
    <r>
      <rPr>
        <sz val="12"/>
        <rFont val="Times New Roman"/>
        <family val="3"/>
      </rPr>
      <t xml:space="preserve">D1772700J  </t>
    </r>
    <r>
      <rPr>
        <sz val="12"/>
        <rFont val="Times New Roman"/>
        <family val="1"/>
      </rPr>
      <t xml:space="preserve">11.9mm </t>
    </r>
    <phoneticPr fontId="7" type="noConversion"/>
  </si>
  <si>
    <t>6010455</t>
    <phoneticPr fontId="7" type="noConversion"/>
  </si>
  <si>
    <t xml:space="preserve">FHLR2GCB2G 50mm2 编织85%
-40~180℃  600V AC/1000V DC
1596/0.20BC
硅胶 15.5mm </t>
  </si>
  <si>
    <t>50平单芯屏蔽线</t>
    <phoneticPr fontId="7" type="noConversion"/>
  </si>
  <si>
    <t>26.3.20日旧单价</t>
    <phoneticPr fontId="7" type="noConversion"/>
  </si>
  <si>
    <t>26.4.23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</si>
</sst>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76" formatCode="0.000"/>
    <numFmt numFmtId="177" formatCode="0.0000"/>
    <numFmt numFmtId="178" formatCode="0.0%"/>
    <numFmt numFmtId="179" formatCode="#,##0.0000_ "/>
    <numFmt numFmtId="180" formatCode="#,##0.000_ "/>
    <numFmt numFmtId="181" formatCode="#,##0.00_ "/>
    <numFmt numFmtId="182" formatCode="#,##0_ "/>
    <numFmt numFmtId="183" formatCode="0.000_ "/>
    <numFmt numFmtId="184" formatCode="0.00_ "/>
    <numFmt numFmtId="186" formatCode="0.0000_ "/>
    <numFmt numFmtId="188" formatCode="0.00_);[Red]\(0.00\)"/>
    <numFmt numFmtId="189" formatCode="0_);[Red]\(0\)"/>
    <numFmt numFmtId="191" formatCode="#,##0.0_ "/>
    <numFmt numFmtId="192" formatCode="0.0_ "/>
    <numFmt numFmtId="193" formatCode="0.000_);[Red]\(0.000\)"/>
    <numFmt numFmtId="194" formatCode="0.00000"/>
    <numFmt numFmtId="197" formatCode="\$#,##0;\-\$#,##0"/>
    <numFmt numFmtId="198" formatCode="0.0000_);[Red]\(0.0000\)"/>
    <numFmt numFmtId="199" formatCode="#,##0.00_);[Red]\(#,##0.00\)"/>
    <numFmt numFmtId="206" formatCode="0.00000_);[Red]\(0.00000\)"/>
    <numFmt numFmtId="207" formatCode="0.000%"/>
    <numFmt numFmtId="210" formatCode="#,##0.0_);[Red]\(#,##0.0\)"/>
  </numFmts>
  <fonts count="80">
    <font>
      <sz val="11"/>
      <color rgb="FF000000"/>
      <name val="Arial"/>
      <charset val="204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sz val="12"/>
      <name val="宋体"/>
      <family val="3"/>
      <charset val="134"/>
    </font>
    <font>
      <b/>
      <sz val="20"/>
      <name val="宋体"/>
      <family val="3"/>
      <charset val="134"/>
    </font>
    <font>
      <sz val="12"/>
      <name val="新細明體"/>
      <family val="1"/>
    </font>
    <font>
      <sz val="9"/>
      <name val="新細明體"/>
      <family val="1"/>
    </font>
    <font>
      <b/>
      <sz val="12"/>
      <color indexed="10"/>
      <name val="Times New Roman"/>
      <family val="1"/>
    </font>
    <font>
      <sz val="9"/>
      <name val="宋体"/>
      <family val="3"/>
      <charset val="134"/>
      <scheme val="minor"/>
    </font>
    <font>
      <b/>
      <sz val="12"/>
      <color indexed="10"/>
      <name val="宋体"/>
      <family val="3"/>
      <charset val="134"/>
    </font>
    <font>
      <sz val="12"/>
      <name val="Times New Roman"/>
      <family val="1"/>
    </font>
    <font>
      <sz val="10"/>
      <name val="Times New Roman"/>
      <family val="1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新細明體"/>
      <family val="1"/>
    </font>
    <font>
      <sz val="12"/>
      <color indexed="8"/>
      <name val="新細明體"/>
      <family val="1"/>
    </font>
    <font>
      <sz val="12"/>
      <color indexed="12"/>
      <name val="宋体"/>
      <family val="3"/>
      <charset val="134"/>
    </font>
    <font>
      <b/>
      <sz val="14"/>
      <color indexed="12"/>
      <name val="宋体"/>
      <family val="3"/>
      <charset val="134"/>
    </font>
    <font>
      <vertAlign val="superscript"/>
      <sz val="10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indexed="10"/>
      <name val="新細明體"/>
      <family val="1"/>
    </font>
    <font>
      <sz val="12"/>
      <name val="Times New Roman"/>
      <family val="3"/>
      <charset val="134"/>
    </font>
    <font>
      <sz val="10"/>
      <color rgb="FF000000"/>
      <name val="宋体"/>
      <family val="3"/>
      <charset val="134"/>
    </font>
    <font>
      <sz val="12"/>
      <name val="Segoe UI Symbol"/>
      <family val="3"/>
    </font>
    <font>
      <sz val="10"/>
      <name val="Segoe UI Symbol"/>
      <family val="2"/>
    </font>
    <font>
      <sz val="12"/>
      <name val="Segoe UI Symbol"/>
      <family val="2"/>
    </font>
    <font>
      <sz val="11"/>
      <color rgb="FF000000"/>
      <name val="Arial"/>
      <family val="3"/>
      <charset val="134"/>
    </font>
    <font>
      <sz val="10"/>
      <name val="Times New Roman"/>
      <family val="2"/>
    </font>
    <font>
      <sz val="12"/>
      <name val="微软雅黑"/>
      <family val="2"/>
      <charset val="134"/>
    </font>
    <font>
      <sz val="12"/>
      <name val="Segoe UI Symbol"/>
      <family val="1"/>
    </font>
    <font>
      <sz val="10"/>
      <name val="Segoe UI Symbol"/>
      <family val="1"/>
    </font>
    <font>
      <sz val="10"/>
      <name val="Arial"/>
      <family val="2"/>
    </font>
    <font>
      <sz val="10"/>
      <name val="微软雅黑"/>
      <family val="2"/>
      <charset val="134"/>
    </font>
    <font>
      <vertAlign val="superscript"/>
      <sz val="10"/>
      <name val="Times New Roman"/>
      <family val="1"/>
    </font>
    <font>
      <sz val="11"/>
      <color theme="1"/>
      <name val="宋体"/>
      <family val="2"/>
      <charset val="134"/>
      <scheme val="minor"/>
    </font>
    <font>
      <sz val="12"/>
      <name val="Times New Roman"/>
      <family val="2"/>
    </font>
    <font>
      <b/>
      <sz val="12"/>
      <color rgb="FF000000"/>
      <name val="宋体"/>
      <family val="3"/>
      <charset val="134"/>
    </font>
    <font>
      <sz val="10"/>
      <color rgb="FFFF0000"/>
      <name val="Times New Roman"/>
      <family val="1"/>
    </font>
    <font>
      <sz val="11"/>
      <color rgb="FF000000"/>
      <name val="Arial"/>
      <family val="2"/>
      <charset val="134"/>
    </font>
    <font>
      <sz val="11"/>
      <color theme="1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name val="Times New Roman"/>
      <family val="3"/>
    </font>
    <font>
      <b/>
      <sz val="11"/>
      <name val="宋体"/>
      <family val="3"/>
      <charset val="134"/>
    </font>
    <font>
      <b/>
      <sz val="12"/>
      <name val="Times New Roman"/>
      <family val="1"/>
    </font>
    <font>
      <sz val="10"/>
      <name val="Helv"/>
      <family val="2"/>
    </font>
    <font>
      <b/>
      <sz val="12"/>
      <color rgb="FFFF0000"/>
      <name val="Times New Roman"/>
      <family val="1"/>
    </font>
    <font>
      <b/>
      <sz val="11"/>
      <color rgb="FFFF0000"/>
      <name val="宋体"/>
      <family val="3"/>
      <charset val="134"/>
    </font>
    <font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color indexed="10"/>
      <name val="新細明體"/>
      <family val="1"/>
      <charset val="255"/>
    </font>
    <font>
      <sz val="11"/>
      <color rgb="FF000000"/>
      <name val="Microsoft YaHei UI"/>
      <family val="2"/>
      <charset val="134"/>
    </font>
    <font>
      <sz val="12"/>
      <name val="宋体"/>
      <family val="1"/>
      <charset val="134"/>
    </font>
    <font>
      <sz val="12"/>
      <name val="Calibri"/>
      <family val="2"/>
    </font>
    <font>
      <sz val="10.8"/>
      <name val="宋体"/>
      <family val="3"/>
      <charset val="134"/>
    </font>
    <font>
      <b/>
      <sz val="10"/>
      <name val="宋体"/>
      <family val="3"/>
      <charset val="134"/>
      <scheme val="minor"/>
    </font>
    <font>
      <sz val="11"/>
      <name val="Times New Roman"/>
      <family val="1"/>
    </font>
    <font>
      <sz val="12"/>
      <color rgb="FFFF0000"/>
      <name val="Times New Roman"/>
      <family val="3"/>
    </font>
    <font>
      <sz val="11"/>
      <color indexed="8"/>
      <name val="宋体"/>
      <family val="3"/>
      <charset val="134"/>
      <scheme val="minor"/>
    </font>
    <font>
      <sz val="10"/>
      <name val="SimSun"/>
      <charset val="134"/>
    </font>
    <font>
      <sz val="12"/>
      <name val="文鼎中文等线"/>
      <charset val="134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Segoe UI Symbol"/>
      <family val="2"/>
    </font>
    <font>
      <sz val="12"/>
      <color indexed="8"/>
      <name val="Microsoft YaHei UI"/>
      <family val="2"/>
      <charset val="134"/>
    </font>
    <font>
      <b/>
      <sz val="12"/>
      <color indexed="8"/>
      <name val="Times New Roman"/>
      <family val="1"/>
    </font>
    <font>
      <sz val="12"/>
      <color rgb="FF000000"/>
      <name val="Times New Roman"/>
      <family val="2"/>
    </font>
    <font>
      <sz val="11"/>
      <color rgb="FFFF0000"/>
      <name val="宋体"/>
      <family val="3"/>
      <charset val="134"/>
    </font>
    <font>
      <b/>
      <sz val="12"/>
      <color rgb="FFFF0000"/>
      <name val="宋体"/>
      <family val="1"/>
      <charset val="134"/>
    </font>
  </fonts>
  <fills count="1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AE62F"/>
        <bgColor indexed="64"/>
      </patternFill>
    </fill>
    <fill>
      <patternFill patternType="solid">
        <fgColor rgb="FF05EB6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9">
    <xf numFmtId="0" fontId="0" fillId="0" borderId="0"/>
    <xf numFmtId="9" fontId="9" fillId="0" borderId="0" applyFont="0" applyFill="0" applyBorder="0" applyAlignment="0" applyProtection="0">
      <alignment vertical="center"/>
    </xf>
    <xf numFmtId="0" fontId="10" fillId="0" borderId="0"/>
    <xf numFmtId="0" fontId="12" fillId="0" borderId="0"/>
    <xf numFmtId="9" fontId="12" fillId="0" borderId="0" applyFont="0" applyFill="0" applyBorder="0" applyAlignment="0" applyProtection="0">
      <alignment vertical="center"/>
    </xf>
    <xf numFmtId="0" fontId="10" fillId="0" borderId="0"/>
    <xf numFmtId="0" fontId="12" fillId="0" borderId="0"/>
    <xf numFmtId="9" fontId="12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0" fontId="41" fillId="0" borderId="0"/>
    <xf numFmtId="9" fontId="41" fillId="0" borderId="0" applyFont="0" applyFill="0" applyBorder="0" applyAlignment="0" applyProtection="0"/>
    <xf numFmtId="0" fontId="10" fillId="0" borderId="0"/>
    <xf numFmtId="0" fontId="10" fillId="0" borderId="0"/>
    <xf numFmtId="0" fontId="44" fillId="0" borderId="0">
      <alignment vertical="center"/>
    </xf>
    <xf numFmtId="0" fontId="8" fillId="0" borderId="0"/>
    <xf numFmtId="9" fontId="8" fillId="0" borderId="0" applyFont="0" applyFill="0" applyBorder="0" applyAlignment="0" applyProtection="0">
      <alignment vertical="center"/>
    </xf>
    <xf numFmtId="0" fontId="8" fillId="0" borderId="0"/>
    <xf numFmtId="0" fontId="5" fillId="0" borderId="0"/>
    <xf numFmtId="0" fontId="10" fillId="0" borderId="0"/>
    <xf numFmtId="0" fontId="54" fillId="0" borderId="0"/>
    <xf numFmtId="0" fontId="54" fillId="0" borderId="0"/>
    <xf numFmtId="0" fontId="10" fillId="0" borderId="0"/>
    <xf numFmtId="0" fontId="58" fillId="0" borderId="0"/>
    <xf numFmtId="0" fontId="10" fillId="0" borderId="0"/>
    <xf numFmtId="0" fontId="58" fillId="0" borderId="0"/>
    <xf numFmtId="0" fontId="58" fillId="0" borderId="0">
      <alignment vertical="center"/>
    </xf>
    <xf numFmtId="0" fontId="8" fillId="0" borderId="0"/>
    <xf numFmtId="0" fontId="4" fillId="0" borderId="0"/>
    <xf numFmtId="0" fontId="3" fillId="0" borderId="0"/>
    <xf numFmtId="9" fontId="8" fillId="0" borderId="0" applyFont="0" applyFill="0" applyBorder="0" applyAlignment="0" applyProtection="0">
      <alignment vertical="center"/>
    </xf>
    <xf numFmtId="0" fontId="2" fillId="0" borderId="0"/>
    <xf numFmtId="0" fontId="10" fillId="0" borderId="0"/>
    <xf numFmtId="0" fontId="10" fillId="0" borderId="0"/>
    <xf numFmtId="0" fontId="10" fillId="0" borderId="0"/>
    <xf numFmtId="0" fontId="69" fillId="0" borderId="0">
      <alignment vertical="center"/>
    </xf>
    <xf numFmtId="0" fontId="10" fillId="0" borderId="0"/>
  </cellStyleXfs>
  <cellXfs count="603">
    <xf numFmtId="49" fontId="0" fillId="0" borderId="0" xfId="0" applyNumberFormat="1" applyAlignment="1">
      <alignment horizontal="left" vertical="top" wrapText="1"/>
    </xf>
    <xf numFmtId="0" fontId="11" fillId="4" borderId="2" xfId="2" applyFont="1" applyFill="1" applyBorder="1" applyAlignment="1">
      <alignment horizontal="center" vertical="center"/>
    </xf>
    <xf numFmtId="0" fontId="10" fillId="4" borderId="2" xfId="3" applyFont="1" applyFill="1" applyBorder="1" applyAlignment="1">
      <alignment horizontal="right"/>
    </xf>
    <xf numFmtId="0" fontId="10" fillId="4" borderId="1" xfId="2" applyFill="1" applyBorder="1" applyAlignment="1" applyProtection="1">
      <alignment horizontal="center" vertical="center"/>
      <protection locked="0"/>
    </xf>
    <xf numFmtId="0" fontId="10" fillId="4" borderId="1" xfId="2" quotePrefix="1" applyFill="1" applyBorder="1" applyAlignment="1" applyProtection="1">
      <alignment horizontal="center" vertical="center"/>
      <protection locked="0"/>
    </xf>
    <xf numFmtId="176" fontId="10" fillId="4" borderId="1" xfId="2" applyNumberFormat="1" applyFill="1" applyBorder="1" applyAlignment="1" applyProtection="1">
      <alignment horizontal="center" vertical="center"/>
      <protection locked="0"/>
    </xf>
    <xf numFmtId="0" fontId="20" fillId="4" borderId="1" xfId="3" applyFont="1" applyFill="1" applyBorder="1" applyAlignment="1" applyProtection="1">
      <alignment horizontal="center" vertical="center"/>
      <protection locked="0"/>
    </xf>
    <xf numFmtId="176" fontId="21" fillId="4" borderId="1" xfId="3" applyNumberFormat="1" applyFont="1" applyFill="1" applyBorder="1" applyAlignment="1">
      <alignment horizontal="center" vertical="center"/>
    </xf>
    <xf numFmtId="0" fontId="22" fillId="4" borderId="1" xfId="3" applyFont="1" applyFill="1" applyBorder="1" applyAlignment="1">
      <alignment horizontal="left" vertical="center"/>
    </xf>
    <xf numFmtId="0" fontId="19" fillId="4" borderId="1" xfId="2" applyFont="1" applyFill="1" applyBorder="1" applyAlignment="1" applyProtection="1">
      <alignment horizontal="center" vertical="center"/>
      <protection locked="0"/>
    </xf>
    <xf numFmtId="0" fontId="19" fillId="4" borderId="1" xfId="2" applyFont="1" applyFill="1" applyBorder="1" applyAlignment="1" applyProtection="1">
      <alignment horizontal="center" vertical="center" wrapText="1"/>
      <protection locked="0"/>
    </xf>
    <xf numFmtId="0" fontId="19" fillId="4" borderId="1" xfId="2" applyFont="1" applyFill="1" applyBorder="1" applyAlignment="1">
      <alignment horizontal="center" vertical="center" wrapText="1"/>
    </xf>
    <xf numFmtId="0" fontId="10" fillId="4" borderId="1" xfId="2" applyFill="1" applyBorder="1" applyAlignment="1">
      <alignment horizontal="center" vertical="center"/>
    </xf>
    <xf numFmtId="179" fontId="10" fillId="4" borderId="1" xfId="2" applyNumberFormat="1" applyFill="1" applyBorder="1" applyAlignment="1" applyProtection="1">
      <alignment vertical="center"/>
      <protection locked="0"/>
    </xf>
    <xf numFmtId="180" fontId="10" fillId="4" borderId="1" xfId="2" applyNumberFormat="1" applyFill="1" applyBorder="1" applyAlignment="1" applyProtection="1">
      <alignment vertical="center"/>
      <protection locked="0"/>
    </xf>
    <xf numFmtId="179" fontId="17" fillId="4" borderId="1" xfId="2" applyNumberFormat="1" applyFont="1" applyFill="1" applyBorder="1" applyAlignment="1" applyProtection="1">
      <alignment vertical="center"/>
      <protection locked="0"/>
    </xf>
    <xf numFmtId="179" fontId="19" fillId="7" borderId="1" xfId="2" applyNumberFormat="1" applyFont="1" applyFill="1" applyBorder="1" applyAlignment="1" applyProtection="1">
      <alignment horizontal="center" vertical="center" wrapText="1"/>
      <protection locked="0"/>
    </xf>
    <xf numFmtId="0" fontId="23" fillId="7" borderId="1" xfId="3" applyFont="1" applyFill="1" applyBorder="1" applyAlignment="1">
      <alignment horizontal="center" vertical="center"/>
    </xf>
    <xf numFmtId="0" fontId="19" fillId="7" borderId="1" xfId="3" applyFont="1" applyFill="1" applyBorder="1" applyAlignment="1">
      <alignment horizontal="center" vertical="center"/>
    </xf>
    <xf numFmtId="179" fontId="19" fillId="7" borderId="1" xfId="2" applyNumberFormat="1" applyFont="1" applyFill="1" applyBorder="1" applyAlignment="1" applyProtection="1">
      <alignment horizontal="center" vertical="center"/>
      <protection locked="0"/>
    </xf>
    <xf numFmtId="179" fontId="10" fillId="8" borderId="1" xfId="2" applyNumberFormat="1" applyFill="1" applyBorder="1" applyAlignment="1" applyProtection="1">
      <alignment horizontal="center" vertical="center"/>
      <protection locked="0"/>
    </xf>
    <xf numFmtId="181" fontId="19" fillId="7" borderId="1" xfId="2" applyNumberFormat="1" applyFont="1" applyFill="1" applyBorder="1" applyAlignment="1">
      <alignment horizontal="center" vertical="center"/>
    </xf>
    <xf numFmtId="179" fontId="19" fillId="7" borderId="3" xfId="2" applyNumberFormat="1" applyFont="1" applyFill="1" applyBorder="1" applyAlignment="1" applyProtection="1">
      <alignment horizontal="center" vertical="center"/>
      <protection locked="0"/>
    </xf>
    <xf numFmtId="179" fontId="21" fillId="3" borderId="1" xfId="2" applyNumberFormat="1" applyFont="1" applyFill="1" applyBorder="1" applyAlignment="1" applyProtection="1">
      <alignment horizontal="center" vertical="center"/>
      <protection locked="0"/>
    </xf>
    <xf numFmtId="0" fontId="19" fillId="3" borderId="1" xfId="3" applyFont="1" applyFill="1" applyBorder="1" applyAlignment="1">
      <alignment horizontal="center" vertical="center"/>
    </xf>
    <xf numFmtId="0" fontId="19" fillId="8" borderId="1" xfId="4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left" vertical="top" wrapText="1"/>
    </xf>
    <xf numFmtId="178" fontId="19" fillId="8" borderId="1" xfId="4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4" borderId="0" xfId="0" applyFont="1" applyFill="1" applyAlignment="1">
      <alignment horizontal="right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7" fillId="4" borderId="1" xfId="0" applyFont="1" applyFill="1" applyBorder="1" applyAlignment="1" applyProtection="1">
      <alignment horizontal="center" vertical="center"/>
      <protection locked="0"/>
    </xf>
    <xf numFmtId="0" fontId="10" fillId="0" borderId="1" xfId="2" quotePrefix="1" applyBorder="1" applyAlignment="1" applyProtection="1">
      <alignment horizontal="center" vertical="center"/>
      <protection locked="0"/>
    </xf>
    <xf numFmtId="0" fontId="10" fillId="0" borderId="1" xfId="2" applyBorder="1" applyAlignment="1" applyProtection="1">
      <alignment horizontal="center" vertical="center"/>
      <protection locked="0"/>
    </xf>
    <xf numFmtId="176" fontId="10" fillId="0" borderId="1" xfId="2" applyNumberFormat="1" applyBorder="1" applyAlignment="1" applyProtection="1">
      <alignment horizontal="center" vertical="center"/>
      <protection locked="0"/>
    </xf>
    <xf numFmtId="176" fontId="10" fillId="4" borderId="5" xfId="5" applyNumberFormat="1" applyFill="1" applyBorder="1" applyAlignment="1" applyProtection="1">
      <alignment horizontal="center" vertical="center"/>
      <protection locked="0"/>
    </xf>
    <xf numFmtId="0" fontId="17" fillId="0" borderId="3" xfId="2" applyFont="1" applyBorder="1" applyAlignment="1" applyProtection="1">
      <alignment horizontal="left" vertical="center"/>
      <protection locked="0"/>
    </xf>
    <xf numFmtId="0" fontId="17" fillId="0" borderId="4" xfId="2" applyFont="1" applyBorder="1" applyAlignment="1" applyProtection="1">
      <alignment horizontal="left" vertical="center"/>
      <protection locked="0"/>
    </xf>
    <xf numFmtId="0" fontId="17" fillId="0" borderId="5" xfId="2" applyFont="1" applyBorder="1" applyAlignment="1" applyProtection="1">
      <alignment horizontal="left" vertical="center"/>
      <protection locked="0"/>
    </xf>
    <xf numFmtId="0" fontId="10" fillId="0" borderId="3" xfId="2" applyBorder="1" applyAlignment="1" applyProtection="1">
      <alignment horizontal="left" vertical="center"/>
      <protection locked="0"/>
    </xf>
    <xf numFmtId="176" fontId="10" fillId="0" borderId="5" xfId="2" applyNumberFormat="1" applyBorder="1" applyAlignment="1" applyProtection="1">
      <alignment horizontal="center" vertical="center"/>
      <protection locked="0"/>
    </xf>
    <xf numFmtId="0" fontId="20" fillId="4" borderId="3" xfId="0" applyFont="1" applyFill="1" applyBorder="1" applyAlignment="1" applyProtection="1">
      <alignment horizontal="center" vertical="center"/>
      <protection locked="0"/>
    </xf>
    <xf numFmtId="177" fontId="21" fillId="4" borderId="1" xfId="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left" vertical="center"/>
    </xf>
    <xf numFmtId="0" fontId="19" fillId="11" borderId="1" xfId="2" applyFont="1" applyFill="1" applyBorder="1" applyAlignment="1" applyProtection="1">
      <alignment horizontal="center" vertical="center"/>
      <protection locked="0"/>
    </xf>
    <xf numFmtId="0" fontId="19" fillId="11" borderId="1" xfId="2" applyFont="1" applyFill="1" applyBorder="1" applyAlignment="1" applyProtection="1">
      <alignment horizontal="center" vertical="center" wrapText="1"/>
      <protection locked="0"/>
    </xf>
    <xf numFmtId="0" fontId="19" fillId="11" borderId="1" xfId="2" applyFont="1" applyFill="1" applyBorder="1" applyAlignment="1">
      <alignment horizontal="center" vertical="center" wrapText="1"/>
    </xf>
    <xf numFmtId="0" fontId="10" fillId="8" borderId="1" xfId="2" applyFill="1" applyBorder="1" applyAlignment="1">
      <alignment horizontal="center" vertical="center"/>
    </xf>
    <xf numFmtId="179" fontId="10" fillId="8" borderId="1" xfId="2" applyNumberFormat="1" applyFill="1" applyBorder="1" applyAlignment="1" applyProtection="1">
      <alignment vertical="center"/>
      <protection locked="0"/>
    </xf>
    <xf numFmtId="186" fontId="10" fillId="8" borderId="1" xfId="0" applyNumberFormat="1" applyFont="1" applyFill="1" applyBorder="1" applyAlignment="1">
      <alignment vertical="center"/>
    </xf>
    <xf numFmtId="0" fontId="23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1" fontId="24" fillId="8" borderId="1" xfId="0" applyNumberFormat="1" applyFont="1" applyFill="1" applyBorder="1" applyAlignment="1">
      <alignment horizontal="center" vertical="center"/>
    </xf>
    <xf numFmtId="0" fontId="19" fillId="8" borderId="1" xfId="1" applyNumberFormat="1" applyFont="1" applyFill="1" applyBorder="1" applyAlignment="1">
      <alignment horizontal="center" vertical="center"/>
    </xf>
    <xf numFmtId="179" fontId="10" fillId="5" borderId="1" xfId="2" applyNumberFormat="1" applyFill="1" applyBorder="1" applyAlignment="1" applyProtection="1">
      <alignment horizontal="center" vertical="center"/>
      <protection locked="0"/>
    </xf>
    <xf numFmtId="0" fontId="14" fillId="4" borderId="0" xfId="0" applyFont="1" applyFill="1" applyAlignment="1">
      <alignment horizontal="center" vertical="center"/>
    </xf>
    <xf numFmtId="2" fontId="10" fillId="4" borderId="1" xfId="0" applyNumberFormat="1" applyFont="1" applyFill="1" applyBorder="1" applyAlignment="1" applyProtection="1">
      <alignment horizontal="right" vertical="center"/>
      <protection locked="0"/>
    </xf>
    <xf numFmtId="2" fontId="21" fillId="4" borderId="1" xfId="0" applyNumberFormat="1" applyFont="1" applyFill="1" applyBorder="1" applyAlignment="1">
      <alignment horizontal="center" vertical="center"/>
    </xf>
    <xf numFmtId="179" fontId="21" fillId="7" borderId="1" xfId="2" applyNumberFormat="1" applyFont="1" applyFill="1" applyBorder="1" applyAlignment="1" applyProtection="1">
      <alignment horizontal="center" vertical="center"/>
      <protection locked="0"/>
    </xf>
    <xf numFmtId="180" fontId="27" fillId="3" borderId="1" xfId="2" applyNumberFormat="1" applyFont="1" applyFill="1" applyBorder="1" applyAlignment="1" applyProtection="1">
      <alignment horizontal="center" vertical="center"/>
      <protection locked="0"/>
    </xf>
    <xf numFmtId="180" fontId="19" fillId="3" borderId="1" xfId="2" applyNumberFormat="1" applyFont="1" applyFill="1" applyBorder="1" applyAlignment="1" applyProtection="1">
      <alignment horizontal="center" vertical="center"/>
      <protection locked="0"/>
    </xf>
    <xf numFmtId="2" fontId="10" fillId="5" borderId="1" xfId="2" applyNumberFormat="1" applyFill="1" applyBorder="1" applyAlignment="1" applyProtection="1">
      <alignment horizontal="center" vertical="center"/>
      <protection locked="0"/>
    </xf>
    <xf numFmtId="0" fontId="0" fillId="0" borderId="0" xfId="0"/>
    <xf numFmtId="184" fontId="10" fillId="9" borderId="1" xfId="2" applyNumberFormat="1" applyFill="1" applyBorder="1" applyAlignment="1" applyProtection="1">
      <alignment horizontal="center" vertical="center"/>
      <protection locked="0"/>
    </xf>
    <xf numFmtId="177" fontId="10" fillId="5" borderId="1" xfId="2" applyNumberFormat="1" applyFill="1" applyBorder="1" applyAlignment="1" applyProtection="1">
      <alignment horizontal="center" vertical="center"/>
      <protection locked="0"/>
    </xf>
    <xf numFmtId="184" fontId="10" fillId="5" borderId="1" xfId="2" applyNumberFormat="1" applyFill="1" applyBorder="1" applyAlignment="1" applyProtection="1">
      <alignment horizontal="center" vertical="center"/>
      <protection locked="0"/>
    </xf>
    <xf numFmtId="182" fontId="26" fillId="5" borderId="12" xfId="2" applyNumberFormat="1" applyFont="1" applyFill="1" applyBorder="1" applyAlignment="1" applyProtection="1">
      <alignment horizontal="center" vertical="center"/>
      <protection locked="0"/>
    </xf>
    <xf numFmtId="182" fontId="10" fillId="4" borderId="1" xfId="2" applyNumberFormat="1" applyFill="1" applyBorder="1" applyAlignment="1" applyProtection="1">
      <alignment horizontal="center" vertical="center"/>
      <protection locked="0"/>
    </xf>
    <xf numFmtId="182" fontId="10" fillId="8" borderId="1" xfId="0" applyNumberFormat="1" applyFont="1" applyFill="1" applyBorder="1" applyAlignment="1">
      <alignment horizontal="center" vertical="center"/>
    </xf>
    <xf numFmtId="182" fontId="17" fillId="4" borderId="1" xfId="2" applyNumberFormat="1" applyFont="1" applyFill="1" applyBorder="1" applyAlignment="1" applyProtection="1">
      <alignment horizontal="center" vertical="center"/>
      <protection locked="0"/>
    </xf>
    <xf numFmtId="182" fontId="19" fillId="7" borderId="1" xfId="2" applyNumberFormat="1" applyFont="1" applyFill="1" applyBorder="1" applyAlignment="1" applyProtection="1">
      <alignment horizontal="center" vertical="center" wrapText="1"/>
      <protection locked="0"/>
    </xf>
    <xf numFmtId="182" fontId="23" fillId="7" borderId="1" xfId="0" applyNumberFormat="1" applyFont="1" applyFill="1" applyBorder="1" applyAlignment="1">
      <alignment horizontal="center" vertical="center"/>
    </xf>
    <xf numFmtId="182" fontId="19" fillId="7" borderId="1" xfId="0" applyNumberFormat="1" applyFont="1" applyFill="1" applyBorder="1" applyAlignment="1">
      <alignment horizontal="center" vertical="center"/>
    </xf>
    <xf numFmtId="182" fontId="19" fillId="7" borderId="1" xfId="2" applyNumberFormat="1" applyFont="1" applyFill="1" applyBorder="1" applyAlignment="1" applyProtection="1">
      <alignment horizontal="center" vertical="center"/>
      <protection locked="0"/>
    </xf>
    <xf numFmtId="182" fontId="21" fillId="7" borderId="1" xfId="2" applyNumberFormat="1" applyFont="1" applyFill="1" applyBorder="1" applyAlignment="1" applyProtection="1">
      <alignment horizontal="center" vertical="center"/>
      <protection locked="0"/>
    </xf>
    <xf numFmtId="177" fontId="21" fillId="4" borderId="1" xfId="3" applyNumberFormat="1" applyFont="1" applyFill="1" applyBorder="1" applyAlignment="1">
      <alignment horizontal="center" vertical="center"/>
    </xf>
    <xf numFmtId="2" fontId="21" fillId="4" borderId="1" xfId="3" applyNumberFormat="1" applyFont="1" applyFill="1" applyBorder="1" applyAlignment="1">
      <alignment horizontal="center" vertical="center"/>
    </xf>
    <xf numFmtId="0" fontId="25" fillId="8" borderId="0" xfId="3" applyFont="1" applyFill="1" applyAlignment="1">
      <alignment horizontal="center" vertical="center"/>
    </xf>
    <xf numFmtId="0" fontId="19" fillId="5" borderId="1" xfId="6" applyFont="1" applyFill="1" applyBorder="1" applyAlignment="1">
      <alignment horizontal="center" vertical="center"/>
    </xf>
    <xf numFmtId="10" fontId="19" fillId="9" borderId="1" xfId="7" applyNumberFormat="1" applyFont="1" applyFill="1" applyBorder="1" applyAlignment="1">
      <alignment horizontal="center" vertical="center"/>
    </xf>
    <xf numFmtId="1" fontId="24" fillId="8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2" fontId="23" fillId="7" borderId="1" xfId="3" applyNumberFormat="1" applyFont="1" applyFill="1" applyBorder="1" applyAlignment="1">
      <alignment horizontal="center" vertical="center"/>
    </xf>
    <xf numFmtId="182" fontId="19" fillId="7" borderId="1" xfId="3" applyNumberFormat="1" applyFont="1" applyFill="1" applyBorder="1" applyAlignment="1">
      <alignment horizontal="center" vertical="center"/>
    </xf>
    <xf numFmtId="182" fontId="10" fillId="5" borderId="1" xfId="2" applyNumberFormat="1" applyFill="1" applyBorder="1" applyAlignment="1" applyProtection="1">
      <alignment horizontal="center" vertical="center"/>
      <protection locked="0"/>
    </xf>
    <xf numFmtId="0" fontId="10" fillId="0" borderId="1" xfId="9" quotePrefix="1" applyBorder="1" applyAlignment="1" applyProtection="1">
      <alignment horizontal="center" vertical="center"/>
      <protection locked="0"/>
    </xf>
    <xf numFmtId="176" fontId="10" fillId="0" borderId="1" xfId="9" applyNumberFormat="1" applyBorder="1" applyAlignment="1" applyProtection="1">
      <alignment horizontal="center" vertical="center"/>
      <protection locked="0"/>
    </xf>
    <xf numFmtId="177" fontId="10" fillId="5" borderId="1" xfId="9" applyNumberFormat="1" applyFill="1" applyBorder="1" applyAlignment="1" applyProtection="1">
      <alignment horizontal="center" vertical="center"/>
      <protection locked="0"/>
    </xf>
    <xf numFmtId="0" fontId="10" fillId="0" borderId="1" xfId="9" applyBorder="1" applyAlignment="1" applyProtection="1">
      <alignment horizontal="center" vertical="center"/>
      <protection locked="0"/>
    </xf>
    <xf numFmtId="176" fontId="10" fillId="4" borderId="5" xfId="10" applyNumberFormat="1" applyFill="1" applyBorder="1" applyAlignment="1" applyProtection="1">
      <alignment horizontal="center" vertical="center"/>
      <protection locked="0"/>
    </xf>
    <xf numFmtId="184" fontId="10" fillId="5" borderId="1" xfId="9" applyNumberFormat="1" applyFill="1" applyBorder="1" applyAlignment="1" applyProtection="1">
      <alignment horizontal="center" vertical="center"/>
      <protection locked="0"/>
    </xf>
    <xf numFmtId="0" fontId="10" fillId="0" borderId="3" xfId="9" applyBorder="1" applyAlignment="1" applyProtection="1">
      <alignment horizontal="left" vertical="center"/>
      <protection locked="0"/>
    </xf>
    <xf numFmtId="0" fontId="17" fillId="0" borderId="4" xfId="9" applyFont="1" applyBorder="1" applyAlignment="1" applyProtection="1">
      <alignment horizontal="left" vertical="center"/>
      <protection locked="0"/>
    </xf>
    <xf numFmtId="0" fontId="17" fillId="0" borderId="5" xfId="9" applyFont="1" applyBorder="1" applyAlignment="1" applyProtection="1">
      <alignment horizontal="left" vertical="center"/>
      <protection locked="0"/>
    </xf>
    <xf numFmtId="0" fontId="19" fillId="11" borderId="1" xfId="9" applyFont="1" applyFill="1" applyBorder="1" applyAlignment="1" applyProtection="1">
      <alignment horizontal="center" vertical="center"/>
      <protection locked="0"/>
    </xf>
    <xf numFmtId="0" fontId="19" fillId="11" borderId="1" xfId="9" applyFont="1" applyFill="1" applyBorder="1" applyAlignment="1" applyProtection="1">
      <alignment horizontal="center" vertical="center" wrapText="1"/>
      <protection locked="0"/>
    </xf>
    <xf numFmtId="0" fontId="19" fillId="11" borderId="1" xfId="9" applyFont="1" applyFill="1" applyBorder="1" applyAlignment="1">
      <alignment horizontal="center" vertical="center" wrapText="1"/>
    </xf>
    <xf numFmtId="183" fontId="10" fillId="8" borderId="1" xfId="9" applyNumberFormat="1" applyFill="1" applyBorder="1" applyAlignment="1">
      <alignment horizontal="center" vertical="center"/>
    </xf>
    <xf numFmtId="0" fontId="10" fillId="8" borderId="1" xfId="9" applyFill="1" applyBorder="1" applyAlignment="1">
      <alignment horizontal="center" vertical="center"/>
    </xf>
    <xf numFmtId="179" fontId="19" fillId="7" borderId="1" xfId="9" applyNumberFormat="1" applyFont="1" applyFill="1" applyBorder="1" applyAlignment="1" applyProtection="1">
      <alignment horizontal="center" vertical="center" wrapText="1"/>
      <protection locked="0"/>
    </xf>
    <xf numFmtId="179" fontId="10" fillId="8" borderId="1" xfId="9" applyNumberFormat="1" applyFill="1" applyBorder="1" applyAlignment="1" applyProtection="1">
      <alignment horizontal="center" vertical="center"/>
      <protection locked="0"/>
    </xf>
    <xf numFmtId="179" fontId="10" fillId="5" borderId="1" xfId="9" applyNumberFormat="1" applyFill="1" applyBorder="1" applyAlignment="1" applyProtection="1">
      <alignment horizontal="center" vertical="center"/>
      <protection locked="0"/>
    </xf>
    <xf numFmtId="181" fontId="19" fillId="7" borderId="1" xfId="9" applyNumberFormat="1" applyFont="1" applyFill="1" applyBorder="1" applyAlignment="1">
      <alignment horizontal="center" vertical="center"/>
    </xf>
    <xf numFmtId="179" fontId="19" fillId="7" borderId="1" xfId="9" applyNumberFormat="1" applyFont="1" applyFill="1" applyBorder="1" applyAlignment="1" applyProtection="1">
      <alignment horizontal="center" vertical="center"/>
      <protection locked="0"/>
    </xf>
    <xf numFmtId="179" fontId="19" fillId="7" borderId="3" xfId="9" applyNumberFormat="1" applyFont="1" applyFill="1" applyBorder="1" applyAlignment="1" applyProtection="1">
      <alignment horizontal="center" vertical="center"/>
      <protection locked="0"/>
    </xf>
    <xf numFmtId="182" fontId="26" fillId="5" borderId="12" xfId="9" applyNumberFormat="1" applyFont="1" applyFill="1" applyBorder="1" applyAlignment="1" applyProtection="1">
      <alignment horizontal="center" vertical="center"/>
      <protection locked="0"/>
    </xf>
    <xf numFmtId="179" fontId="21" fillId="3" borderId="1" xfId="9" applyNumberFormat="1" applyFont="1" applyFill="1" applyBorder="1" applyAlignment="1" applyProtection="1">
      <alignment horizontal="center" vertical="center"/>
      <protection locked="0"/>
    </xf>
    <xf numFmtId="180" fontId="27" fillId="9" borderId="1" xfId="9" applyNumberFormat="1" applyFont="1" applyFill="1" applyBorder="1" applyAlignment="1" applyProtection="1">
      <alignment horizontal="center" vertical="center"/>
      <protection locked="0"/>
    </xf>
    <xf numFmtId="178" fontId="24" fillId="8" borderId="1" xfId="1" applyNumberFormat="1" applyFont="1" applyFill="1" applyBorder="1" applyAlignment="1">
      <alignment horizontal="center" vertical="center"/>
    </xf>
    <xf numFmtId="10" fontId="19" fillId="5" borderId="1" xfId="1" applyNumberFormat="1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193" fontId="21" fillId="7" borderId="1" xfId="2" applyNumberFormat="1" applyFont="1" applyFill="1" applyBorder="1" applyAlignment="1" applyProtection="1">
      <alignment horizontal="center" vertical="center"/>
      <protection locked="0"/>
    </xf>
    <xf numFmtId="193" fontId="27" fillId="3" borderId="1" xfId="2" applyNumberFormat="1" applyFont="1" applyFill="1" applyBorder="1" applyAlignment="1" applyProtection="1">
      <alignment horizontal="center" vertical="center"/>
      <protection locked="0"/>
    </xf>
    <xf numFmtId="193" fontId="19" fillId="3" borderId="1" xfId="2" applyNumberFormat="1" applyFont="1" applyFill="1" applyBorder="1" applyAlignment="1" applyProtection="1">
      <alignment horizontal="center" vertical="center"/>
      <protection locked="0"/>
    </xf>
    <xf numFmtId="193" fontId="21" fillId="4" borderId="1" xfId="0" applyNumberFormat="1" applyFont="1" applyFill="1" applyBorder="1" applyAlignment="1">
      <alignment horizontal="center" vertical="center"/>
    </xf>
    <xf numFmtId="193" fontId="10" fillId="4" borderId="1" xfId="2" applyNumberFormat="1" applyFill="1" applyBorder="1" applyAlignment="1" applyProtection="1">
      <alignment horizontal="center" vertical="center"/>
      <protection locked="0"/>
    </xf>
    <xf numFmtId="176" fontId="21" fillId="4" borderId="1" xfId="0" applyNumberFormat="1" applyFont="1" applyFill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/>
    </xf>
    <xf numFmtId="179" fontId="10" fillId="8" borderId="1" xfId="9" applyNumberFormat="1" applyFill="1" applyBorder="1" applyAlignment="1" applyProtection="1">
      <alignment vertical="center"/>
      <protection locked="0"/>
    </xf>
    <xf numFmtId="0" fontId="19" fillId="8" borderId="1" xfId="13" applyNumberFormat="1" applyFont="1" applyFill="1" applyBorder="1" applyAlignment="1">
      <alignment horizontal="center" vertical="center"/>
    </xf>
    <xf numFmtId="1" fontId="24" fillId="8" borderId="1" xfId="12" applyNumberFormat="1" applyFont="1" applyFill="1" applyBorder="1" applyAlignment="1">
      <alignment horizontal="center" vertical="center"/>
    </xf>
    <xf numFmtId="0" fontId="19" fillId="7" borderId="1" xfId="12" applyFont="1" applyFill="1" applyBorder="1" applyAlignment="1">
      <alignment horizontal="center" vertical="center"/>
    </xf>
    <xf numFmtId="0" fontId="23" fillId="7" borderId="1" xfId="12" applyFont="1" applyFill="1" applyBorder="1" applyAlignment="1">
      <alignment horizontal="center" vertical="center"/>
    </xf>
    <xf numFmtId="0" fontId="25" fillId="8" borderId="0" xfId="12" applyFont="1" applyFill="1" applyAlignment="1">
      <alignment horizontal="center" vertical="center"/>
    </xf>
    <xf numFmtId="9" fontId="24" fillId="8" borderId="1" xfId="13" applyFont="1" applyFill="1" applyBorder="1" applyAlignment="1">
      <alignment horizontal="center" vertical="center"/>
    </xf>
    <xf numFmtId="186" fontId="10" fillId="8" borderId="1" xfId="12" applyNumberFormat="1" applyFont="1" applyFill="1" applyBorder="1" applyAlignment="1">
      <alignment vertical="center"/>
    </xf>
    <xf numFmtId="2" fontId="21" fillId="4" borderId="1" xfId="12" applyNumberFormat="1" applyFont="1" applyFill="1" applyBorder="1" applyAlignment="1">
      <alignment horizontal="center" vertical="center"/>
    </xf>
    <xf numFmtId="0" fontId="22" fillId="4" borderId="1" xfId="12" applyFont="1" applyFill="1" applyBorder="1" applyAlignment="1">
      <alignment horizontal="left" vertical="center"/>
    </xf>
    <xf numFmtId="177" fontId="21" fillId="4" borderId="1" xfId="12" applyNumberFormat="1" applyFont="1" applyFill="1" applyBorder="1" applyAlignment="1">
      <alignment horizontal="center" vertical="center"/>
    </xf>
    <xf numFmtId="0" fontId="20" fillId="4" borderId="3" xfId="12" applyFont="1" applyFill="1" applyBorder="1" applyAlignment="1" applyProtection="1">
      <alignment horizontal="center" vertical="center"/>
      <protection locked="0"/>
    </xf>
    <xf numFmtId="2" fontId="10" fillId="4" borderId="1" xfId="12" applyNumberFormat="1" applyFont="1" applyFill="1" applyBorder="1" applyAlignment="1" applyProtection="1">
      <alignment horizontal="right" vertical="center"/>
      <protection locked="0"/>
    </xf>
    <xf numFmtId="0" fontId="17" fillId="4" borderId="1" xfId="12" applyFont="1" applyFill="1" applyBorder="1" applyAlignment="1" applyProtection="1">
      <alignment horizontal="center" vertical="center"/>
      <protection locked="0"/>
    </xf>
    <xf numFmtId="0" fontId="10" fillId="4" borderId="1" xfId="12" applyFont="1" applyFill="1" applyBorder="1" applyAlignment="1" applyProtection="1">
      <alignment horizontal="center" vertical="center"/>
      <protection locked="0"/>
    </xf>
    <xf numFmtId="0" fontId="10" fillId="0" borderId="0" xfId="12" applyFont="1" applyAlignment="1">
      <alignment vertical="center"/>
    </xf>
    <xf numFmtId="0" fontId="14" fillId="4" borderId="0" xfId="12" applyFont="1" applyFill="1" applyAlignment="1">
      <alignment horizontal="center" vertical="center"/>
    </xf>
    <xf numFmtId="0" fontId="10" fillId="4" borderId="0" xfId="12" applyFont="1" applyFill="1" applyAlignment="1">
      <alignment horizontal="right"/>
    </xf>
    <xf numFmtId="0" fontId="11" fillId="4" borderId="0" xfId="12" applyFont="1" applyFill="1" applyAlignment="1">
      <alignment horizontal="center" vertical="center"/>
    </xf>
    <xf numFmtId="179" fontId="10" fillId="4" borderId="1" xfId="9" applyNumberFormat="1" applyFill="1" applyBorder="1" applyAlignment="1" applyProtection="1">
      <alignment vertical="center"/>
      <protection locked="0"/>
    </xf>
    <xf numFmtId="179" fontId="17" fillId="4" borderId="1" xfId="9" applyNumberFormat="1" applyFont="1" applyFill="1" applyBorder="1" applyAlignment="1" applyProtection="1">
      <alignment vertical="center"/>
      <protection locked="0"/>
    </xf>
    <xf numFmtId="0" fontId="19" fillId="12" borderId="1" xfId="0" applyFont="1" applyFill="1" applyBorder="1" applyAlignment="1">
      <alignment horizontal="center" vertical="center"/>
    </xf>
    <xf numFmtId="10" fontId="19" fillId="5" borderId="1" xfId="13" applyNumberFormat="1" applyFont="1" applyFill="1" applyBorder="1" applyAlignment="1">
      <alignment horizontal="center" vertical="center"/>
    </xf>
    <xf numFmtId="0" fontId="19" fillId="3" borderId="1" xfId="12" applyFont="1" applyFill="1" applyBorder="1" applyAlignment="1">
      <alignment horizontal="center" vertical="center"/>
    </xf>
    <xf numFmtId="176" fontId="27" fillId="3" borderId="1" xfId="9" applyNumberFormat="1" applyFont="1" applyFill="1" applyBorder="1" applyAlignment="1" applyProtection="1">
      <alignment horizontal="center" vertical="center"/>
      <protection locked="0"/>
    </xf>
    <xf numFmtId="9" fontId="19" fillId="5" borderId="1" xfId="13" applyFont="1" applyFill="1" applyBorder="1" applyAlignment="1" applyProtection="1">
      <alignment horizontal="center" vertical="center"/>
      <protection locked="0"/>
    </xf>
    <xf numFmtId="182" fontId="10" fillId="5" borderId="1" xfId="9" applyNumberFormat="1" applyFill="1" applyBorder="1" applyAlignment="1" applyProtection="1">
      <alignment horizontal="center" vertical="center"/>
      <protection locked="0"/>
    </xf>
    <xf numFmtId="1" fontId="19" fillId="5" borderId="1" xfId="6" applyNumberFormat="1" applyFont="1" applyFill="1" applyBorder="1" applyAlignment="1">
      <alignment horizontal="center" vertical="center"/>
    </xf>
    <xf numFmtId="176" fontId="21" fillId="7" borderId="1" xfId="9" applyNumberFormat="1" applyFont="1" applyFill="1" applyBorder="1" applyAlignment="1" applyProtection="1">
      <alignment horizontal="center" vertical="center"/>
      <protection locked="0"/>
    </xf>
    <xf numFmtId="176" fontId="10" fillId="4" borderId="1" xfId="9" applyNumberFormat="1" applyFill="1" applyBorder="1" applyAlignment="1" applyProtection="1">
      <alignment horizontal="center" vertical="center"/>
      <protection locked="0"/>
    </xf>
    <xf numFmtId="192" fontId="10" fillId="8" borderId="1" xfId="9" applyNumberFormat="1" applyFill="1" applyBorder="1" applyAlignment="1">
      <alignment horizontal="center" vertical="center"/>
    </xf>
    <xf numFmtId="176" fontId="19" fillId="11" borderId="1" xfId="9" applyNumberFormat="1" applyFont="1" applyFill="1" applyBorder="1" applyAlignment="1" applyProtection="1">
      <alignment horizontal="center" vertical="center"/>
      <protection locked="0"/>
    </xf>
    <xf numFmtId="180" fontId="10" fillId="4" borderId="1" xfId="9" applyNumberFormat="1" applyFill="1" applyBorder="1" applyAlignment="1" applyProtection="1">
      <alignment vertical="center"/>
      <protection locked="0"/>
    </xf>
    <xf numFmtId="9" fontId="19" fillId="8" borderId="1" xfId="18" applyFont="1" applyFill="1" applyBorder="1" applyAlignment="1">
      <alignment horizontal="center" vertical="center"/>
    </xf>
    <xf numFmtId="10" fontId="19" fillId="5" borderId="1" xfId="18" applyNumberFormat="1" applyFont="1" applyFill="1" applyBorder="1" applyAlignment="1">
      <alignment horizontal="center" vertical="center"/>
    </xf>
    <xf numFmtId="0" fontId="19" fillId="8" borderId="1" xfId="18" applyNumberFormat="1" applyFont="1" applyFill="1" applyBorder="1" applyAlignment="1">
      <alignment horizontal="center" vertical="center"/>
    </xf>
    <xf numFmtId="0" fontId="19" fillId="7" borderId="1" xfId="17" applyFont="1" applyFill="1" applyBorder="1" applyAlignment="1">
      <alignment horizontal="center" vertical="center"/>
    </xf>
    <xf numFmtId="9" fontId="19" fillId="5" borderId="1" xfId="18" applyFont="1" applyFill="1" applyBorder="1" applyAlignment="1" applyProtection="1">
      <alignment horizontal="center" vertical="center"/>
      <protection locked="0"/>
    </xf>
    <xf numFmtId="9" fontId="24" fillId="8" borderId="1" xfId="18" applyFont="1" applyFill="1" applyBorder="1" applyAlignment="1">
      <alignment horizontal="center" vertical="center"/>
    </xf>
    <xf numFmtId="10" fontId="19" fillId="9" borderId="1" xfId="18" applyNumberFormat="1" applyFont="1" applyFill="1" applyBorder="1" applyAlignment="1">
      <alignment horizontal="center" vertical="center"/>
    </xf>
    <xf numFmtId="180" fontId="27" fillId="9" borderId="1" xfId="2" applyNumberFormat="1" applyFont="1" applyFill="1" applyBorder="1" applyAlignment="1" applyProtection="1">
      <alignment horizontal="center" vertical="center"/>
      <protection locked="0"/>
    </xf>
    <xf numFmtId="0" fontId="17" fillId="0" borderId="3" xfId="9" applyFont="1" applyBorder="1" applyAlignment="1" applyProtection="1">
      <alignment horizontal="left" vertical="center"/>
      <protection locked="0"/>
    </xf>
    <xf numFmtId="1" fontId="24" fillId="8" borderId="1" xfId="15" applyNumberFormat="1" applyFont="1" applyFill="1" applyBorder="1" applyAlignment="1">
      <alignment horizontal="center" vertical="center"/>
    </xf>
    <xf numFmtId="0" fontId="10" fillId="0" borderId="0" xfId="15" applyAlignment="1">
      <alignment horizontal="left"/>
    </xf>
    <xf numFmtId="0" fontId="11" fillId="4" borderId="0" xfId="15" applyFont="1" applyFill="1" applyAlignment="1">
      <alignment horizontal="center" vertical="center"/>
    </xf>
    <xf numFmtId="0" fontId="10" fillId="0" borderId="0" xfId="15" applyAlignment="1">
      <alignment vertical="center"/>
    </xf>
    <xf numFmtId="0" fontId="10" fillId="4" borderId="0" xfId="15" applyFill="1" applyAlignment="1">
      <alignment horizontal="right"/>
    </xf>
    <xf numFmtId="0" fontId="14" fillId="4" borderId="0" xfId="15" applyFont="1" applyFill="1" applyAlignment="1">
      <alignment horizontal="center" vertical="center"/>
    </xf>
    <xf numFmtId="0" fontId="10" fillId="4" borderId="1" xfId="15" applyFill="1" applyBorder="1" applyAlignment="1" applyProtection="1">
      <alignment horizontal="center" vertical="center"/>
      <protection locked="0"/>
    </xf>
    <xf numFmtId="0" fontId="17" fillId="4" borderId="1" xfId="15" applyFont="1" applyFill="1" applyBorder="1" applyAlignment="1" applyProtection="1">
      <alignment horizontal="center" vertical="center"/>
      <protection locked="0"/>
    </xf>
    <xf numFmtId="0" fontId="6" fillId="0" borderId="0" xfId="15" applyFont="1" applyAlignment="1">
      <alignment horizontal="left" vertical="center" wrapText="1"/>
    </xf>
    <xf numFmtId="0" fontId="20" fillId="4" borderId="3" xfId="15" applyFont="1" applyFill="1" applyBorder="1" applyAlignment="1" applyProtection="1">
      <alignment horizontal="center" vertical="center"/>
      <protection locked="0"/>
    </xf>
    <xf numFmtId="177" fontId="21" fillId="4" borderId="1" xfId="15" applyNumberFormat="1" applyFont="1" applyFill="1" applyBorder="1" applyAlignment="1">
      <alignment horizontal="center" vertical="center"/>
    </xf>
    <xf numFmtId="178" fontId="10" fillId="0" borderId="0" xfId="12" applyNumberFormat="1" applyFont="1" applyAlignment="1">
      <alignment horizontal="left" vertical="center"/>
    </xf>
    <xf numFmtId="186" fontId="10" fillId="8" borderId="1" xfId="15" applyNumberFormat="1" applyFill="1" applyBorder="1" applyAlignment="1">
      <alignment vertical="center"/>
    </xf>
    <xf numFmtId="0" fontId="23" fillId="7" borderId="1" xfId="15" applyFont="1" applyFill="1" applyBorder="1" applyAlignment="1">
      <alignment horizontal="center" vertical="center"/>
    </xf>
    <xf numFmtId="0" fontId="19" fillId="7" borderId="1" xfId="15" applyFont="1" applyFill="1" applyBorder="1" applyAlignment="1">
      <alignment horizontal="center" vertical="center"/>
    </xf>
    <xf numFmtId="0" fontId="25" fillId="8" borderId="0" xfId="15" applyFont="1" applyFill="1" applyAlignment="1">
      <alignment horizontal="center" vertical="center"/>
    </xf>
    <xf numFmtId="0" fontId="19" fillId="5" borderId="1" xfId="12" applyFont="1" applyFill="1" applyBorder="1" applyAlignment="1">
      <alignment horizontal="center" vertical="center"/>
    </xf>
    <xf numFmtId="1" fontId="19" fillId="5" borderId="1" xfId="12" applyNumberFormat="1" applyFont="1" applyFill="1" applyBorder="1" applyAlignment="1">
      <alignment horizontal="center" vertical="center"/>
    </xf>
    <xf numFmtId="49" fontId="6" fillId="0" borderId="0" xfId="15" applyNumberFormat="1" applyFont="1" applyAlignment="1">
      <alignment horizontal="left" vertical="center" wrapText="1"/>
    </xf>
    <xf numFmtId="183" fontId="6" fillId="9" borderId="0" xfId="15" applyNumberFormat="1" applyFont="1" applyFill="1" applyAlignment="1">
      <alignment horizontal="left" vertical="center" wrapText="1"/>
    </xf>
    <xf numFmtId="176" fontId="10" fillId="4" borderId="1" xfId="15" applyNumberFormat="1" applyFill="1" applyBorder="1" applyAlignment="1" applyProtection="1">
      <alignment horizontal="center" vertical="center"/>
      <protection locked="0"/>
    </xf>
    <xf numFmtId="0" fontId="22" fillId="4" borderId="1" xfId="15" applyFont="1" applyFill="1" applyBorder="1" applyAlignment="1">
      <alignment horizontal="left" vertical="center"/>
    </xf>
    <xf numFmtId="176" fontId="21" fillId="4" borderId="1" xfId="15" applyNumberFormat="1" applyFont="1" applyFill="1" applyBorder="1" applyAlignment="1">
      <alignment horizontal="center" vertical="center"/>
    </xf>
    <xf numFmtId="0" fontId="19" fillId="3" borderId="1" xfId="15" applyFont="1" applyFill="1" applyBorder="1" applyAlignment="1">
      <alignment horizontal="center" vertical="center"/>
    </xf>
    <xf numFmtId="193" fontId="19" fillId="3" borderId="1" xfId="9" applyNumberFormat="1" applyFont="1" applyFill="1" applyBorder="1" applyAlignment="1" applyProtection="1">
      <alignment horizontal="center" vertical="center"/>
      <protection locked="0"/>
    </xf>
    <xf numFmtId="49" fontId="10" fillId="0" borderId="0" xfId="15" applyNumberFormat="1" applyAlignment="1">
      <alignment horizontal="left" vertical="center" wrapText="1"/>
    </xf>
    <xf numFmtId="184" fontId="10" fillId="14" borderId="1" xfId="9" applyNumberFormat="1" applyFill="1" applyBorder="1" applyAlignment="1" applyProtection="1">
      <alignment horizontal="center" vertical="center"/>
      <protection locked="0"/>
    </xf>
    <xf numFmtId="176" fontId="10" fillId="15" borderId="5" xfId="9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178" fontId="24" fillId="8" borderId="1" xfId="13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188" fontId="10" fillId="8" borderId="1" xfId="2" applyNumberFormat="1" applyFill="1" applyBorder="1" applyAlignment="1">
      <alignment horizontal="center" vertical="center"/>
    </xf>
    <xf numFmtId="0" fontId="10" fillId="0" borderId="0" xfId="21" applyAlignment="1">
      <alignment vertical="center"/>
    </xf>
    <xf numFmtId="0" fontId="52" fillId="0" borderId="1" xfId="21" applyFont="1" applyBorder="1" applyAlignment="1">
      <alignment horizontal="center" vertical="center"/>
    </xf>
    <xf numFmtId="10" fontId="10" fillId="0" borderId="0" xfId="0" applyNumberFormat="1" applyFont="1"/>
    <xf numFmtId="176" fontId="10" fillId="13" borderId="5" xfId="2" applyNumberFormat="1" applyFill="1" applyBorder="1" applyAlignment="1" applyProtection="1">
      <alignment horizontal="center" vertical="center"/>
      <protection locked="0"/>
    </xf>
    <xf numFmtId="176" fontId="10" fillId="13" borderId="1" xfId="2" applyNumberFormat="1" applyFill="1" applyBorder="1" applyAlignment="1" applyProtection="1">
      <alignment horizontal="center" vertical="center"/>
      <protection locked="0"/>
    </xf>
    <xf numFmtId="193" fontId="0" fillId="0" borderId="0" xfId="0" applyNumberFormat="1" applyAlignment="1">
      <alignment horizontal="left" vertical="top" wrapText="1"/>
    </xf>
    <xf numFmtId="0" fontId="57" fillId="0" borderId="0" xfId="24" applyFont="1" applyAlignment="1">
      <alignment horizontal="center" vertical="center" wrapText="1"/>
    </xf>
    <xf numFmtId="0" fontId="59" fillId="16" borderId="1" xfId="24" applyFont="1" applyFill="1" applyBorder="1" applyAlignment="1">
      <alignment horizontal="center" vertical="center" wrapText="1"/>
    </xf>
    <xf numFmtId="188" fontId="59" fillId="16" borderId="1" xfId="24" applyNumberFormat="1" applyFont="1" applyFill="1" applyBorder="1" applyAlignment="1">
      <alignment horizontal="center" vertical="center" wrapText="1"/>
    </xf>
    <xf numFmtId="10" fontId="57" fillId="0" borderId="0" xfId="24" applyNumberFormat="1" applyFont="1" applyAlignment="1">
      <alignment horizontal="center" vertical="center" wrapText="1"/>
    </xf>
    <xf numFmtId="184" fontId="60" fillId="0" borderId="1" xfId="24" applyNumberFormat="1" applyFont="1" applyBorder="1" applyAlignment="1">
      <alignment horizontal="center" vertical="center"/>
    </xf>
    <xf numFmtId="189" fontId="57" fillId="0" borderId="1" xfId="24" applyNumberFormat="1" applyFont="1" applyBorder="1" applyAlignment="1">
      <alignment horizontal="center" vertical="center" wrapText="1"/>
    </xf>
    <xf numFmtId="198" fontId="57" fillId="0" borderId="1" xfId="24" applyNumberFormat="1" applyFont="1" applyBorder="1" applyAlignment="1">
      <alignment horizontal="center" vertical="center" wrapText="1"/>
    </xf>
    <xf numFmtId="199" fontId="57" fillId="0" borderId="1" xfId="24" applyNumberFormat="1" applyFont="1" applyBorder="1" applyAlignment="1">
      <alignment horizontal="center" vertical="center" wrapText="1"/>
    </xf>
    <xf numFmtId="193" fontId="57" fillId="0" borderId="1" xfId="24" applyNumberFormat="1" applyFont="1" applyBorder="1" applyAlignment="1">
      <alignment horizontal="center" vertical="center" wrapText="1"/>
    </xf>
    <xf numFmtId="0" fontId="57" fillId="0" borderId="1" xfId="24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left" vertical="top"/>
    </xf>
    <xf numFmtId="10" fontId="57" fillId="13" borderId="1" xfId="24" applyNumberFormat="1" applyFont="1" applyFill="1" applyBorder="1" applyAlignment="1">
      <alignment horizontal="center" vertical="center" wrapText="1"/>
    </xf>
    <xf numFmtId="0" fontId="19" fillId="7" borderId="1" xfId="29" applyFont="1" applyFill="1" applyBorder="1" applyAlignment="1">
      <alignment horizontal="center" vertical="center"/>
    </xf>
    <xf numFmtId="178" fontId="19" fillId="8" borderId="1" xfId="13" applyNumberFormat="1" applyFont="1" applyFill="1" applyBorder="1" applyAlignment="1">
      <alignment horizontal="center" vertical="center"/>
    </xf>
    <xf numFmtId="1" fontId="19" fillId="8" borderId="1" xfId="0" applyNumberFormat="1" applyFont="1" applyFill="1" applyBorder="1" applyAlignment="1">
      <alignment horizontal="center" vertical="center"/>
    </xf>
    <xf numFmtId="188" fontId="57" fillId="0" borderId="1" xfId="24" applyNumberFormat="1" applyFont="1" applyBorder="1" applyAlignment="1">
      <alignment horizontal="center" vertical="center" wrapText="1"/>
    </xf>
    <xf numFmtId="178" fontId="57" fillId="13" borderId="1" xfId="24" applyNumberFormat="1" applyFont="1" applyFill="1" applyBorder="1" applyAlignment="1">
      <alignment horizontal="center" vertical="center" wrapText="1"/>
    </xf>
    <xf numFmtId="10" fontId="19" fillId="9" borderId="1" xfId="13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42" fillId="17" borderId="1" xfId="24" applyFont="1" applyFill="1" applyBorder="1" applyAlignment="1">
      <alignment horizontal="center" vertical="center" wrapText="1"/>
    </xf>
    <xf numFmtId="0" fontId="42" fillId="17" borderId="1" xfId="28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left" vertical="top" wrapText="1"/>
    </xf>
    <xf numFmtId="0" fontId="57" fillId="13" borderId="1" xfId="24" applyFont="1" applyFill="1" applyBorder="1" applyAlignment="1">
      <alignment horizontal="center" vertical="center" wrapText="1"/>
    </xf>
    <xf numFmtId="0" fontId="42" fillId="13" borderId="1" xfId="24" applyFont="1" applyFill="1" applyBorder="1" applyAlignment="1">
      <alignment horizontal="center" vertical="center" wrapText="1"/>
    </xf>
    <xf numFmtId="49" fontId="8" fillId="0" borderId="0" xfId="29" applyNumberFormat="1" applyAlignment="1">
      <alignment horizontal="left" vertical="top" wrapText="1"/>
    </xf>
    <xf numFmtId="10" fontId="57" fillId="2" borderId="1" xfId="24" applyNumberFormat="1" applyFont="1" applyFill="1" applyBorder="1" applyAlignment="1">
      <alignment horizontal="center" vertical="center" wrapText="1"/>
    </xf>
    <xf numFmtId="0" fontId="10" fillId="12" borderId="0" xfId="0" applyFont="1" applyFill="1"/>
    <xf numFmtId="0" fontId="16" fillId="4" borderId="0" xfId="0" applyFont="1" applyFill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9" fontId="19" fillId="5" borderId="1" xfId="13" applyFont="1" applyFill="1" applyBorder="1" applyAlignment="1">
      <alignment horizontal="center" vertical="center"/>
    </xf>
    <xf numFmtId="49" fontId="14" fillId="4" borderId="2" xfId="0" applyNumberFormat="1" applyFont="1" applyFill="1" applyBorder="1" applyAlignment="1">
      <alignment horizontal="center" vertical="center"/>
    </xf>
    <xf numFmtId="0" fontId="17" fillId="4" borderId="1" xfId="2" applyFont="1" applyFill="1" applyBorder="1" applyAlignment="1" applyProtection="1">
      <alignment horizontal="center" vertical="center"/>
      <protection locked="0"/>
    </xf>
    <xf numFmtId="2" fontId="10" fillId="4" borderId="1" xfId="2" applyNumberFormat="1" applyFill="1" applyBorder="1" applyAlignment="1" applyProtection="1">
      <alignment horizontal="center" vertical="center"/>
      <protection locked="0"/>
    </xf>
    <xf numFmtId="0" fontId="10" fillId="3" borderId="1" xfId="2" applyFill="1" applyBorder="1" applyAlignment="1">
      <alignment horizontal="center" vertical="center"/>
    </xf>
    <xf numFmtId="2" fontId="17" fillId="5" borderId="1" xfId="2" applyNumberFormat="1" applyFont="1" applyFill="1" applyBorder="1" applyAlignment="1" applyProtection="1">
      <alignment horizontal="center" vertical="center"/>
      <protection locked="0"/>
    </xf>
    <xf numFmtId="178" fontId="10" fillId="0" borderId="0" xfId="0" applyNumberFormat="1" applyFont="1" applyAlignment="1">
      <alignment horizontal="center"/>
    </xf>
    <xf numFmtId="180" fontId="19" fillId="13" borderId="1" xfId="2" applyNumberFormat="1" applyFont="1" applyFill="1" applyBorder="1" applyAlignment="1" applyProtection="1">
      <alignment horizontal="center" vertical="center"/>
      <protection locked="0"/>
    </xf>
    <xf numFmtId="49" fontId="56" fillId="0" borderId="0" xfId="17" applyNumberFormat="1" applyFont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177" fontId="10" fillId="8" borderId="1" xfId="34" applyNumberFormat="1" applyFill="1" applyBorder="1" applyAlignment="1">
      <alignment horizontal="center" vertical="center"/>
    </xf>
    <xf numFmtId="0" fontId="10" fillId="0" borderId="1" xfId="35" applyBorder="1" applyAlignment="1" applyProtection="1">
      <alignment horizontal="center" vertical="center"/>
      <protection locked="0"/>
    </xf>
    <xf numFmtId="0" fontId="10" fillId="0" borderId="1" xfId="35" quotePrefix="1" applyBorder="1" applyAlignment="1" applyProtection="1">
      <alignment horizontal="center" vertical="center"/>
      <protection locked="0"/>
    </xf>
    <xf numFmtId="0" fontId="17" fillId="0" borderId="4" xfId="35" applyFont="1" applyBorder="1" applyAlignment="1" applyProtection="1">
      <alignment horizontal="left" vertical="center"/>
      <protection locked="0"/>
    </xf>
    <xf numFmtId="0" fontId="17" fillId="0" borderId="5" xfId="35" applyFont="1" applyBorder="1" applyAlignment="1" applyProtection="1">
      <alignment horizontal="left" vertical="center"/>
      <protection locked="0"/>
    </xf>
    <xf numFmtId="176" fontId="10" fillId="0" borderId="1" xfId="35" applyNumberFormat="1" applyBorder="1" applyAlignment="1" applyProtection="1">
      <alignment horizontal="center" vertical="center"/>
      <protection locked="0"/>
    </xf>
    <xf numFmtId="0" fontId="10" fillId="0" borderId="3" xfId="35" applyBorder="1" applyAlignment="1" applyProtection="1">
      <alignment horizontal="left" vertical="center"/>
      <protection locked="0"/>
    </xf>
    <xf numFmtId="176" fontId="10" fillId="0" borderId="5" xfId="35" applyNumberFormat="1" applyBorder="1" applyAlignment="1" applyProtection="1">
      <alignment horizontal="center" vertical="center"/>
      <protection locked="0"/>
    </xf>
    <xf numFmtId="0" fontId="19" fillId="11" borderId="1" xfId="35" applyFont="1" applyFill="1" applyBorder="1" applyAlignment="1" applyProtection="1">
      <alignment horizontal="center" vertical="center"/>
      <protection locked="0"/>
    </xf>
    <xf numFmtId="0" fontId="19" fillId="11" borderId="1" xfId="35" applyFont="1" applyFill="1" applyBorder="1" applyAlignment="1" applyProtection="1">
      <alignment horizontal="center" vertical="center" wrapText="1"/>
      <protection locked="0"/>
    </xf>
    <xf numFmtId="0" fontId="19" fillId="11" borderId="1" xfId="35" applyFont="1" applyFill="1" applyBorder="1" applyAlignment="1">
      <alignment horizontal="center" vertical="center" wrapText="1"/>
    </xf>
    <xf numFmtId="177" fontId="10" fillId="8" borderId="1" xfId="35" applyNumberFormat="1" applyFill="1" applyBorder="1" applyAlignment="1">
      <alignment horizontal="center" vertical="center"/>
    </xf>
    <xf numFmtId="0" fontId="10" fillId="8" borderId="1" xfId="35" applyFill="1" applyBorder="1" applyAlignment="1">
      <alignment horizontal="center" vertical="center"/>
    </xf>
    <xf numFmtId="182" fontId="10" fillId="4" borderId="1" xfId="35" applyNumberFormat="1" applyFill="1" applyBorder="1" applyAlignment="1" applyProtection="1">
      <alignment horizontal="center" vertical="center"/>
      <protection locked="0"/>
    </xf>
    <xf numFmtId="182" fontId="10" fillId="8" borderId="1" xfId="35" applyNumberFormat="1" applyFill="1" applyBorder="1" applyAlignment="1" applyProtection="1">
      <alignment horizontal="center" vertical="center"/>
      <protection locked="0"/>
    </xf>
    <xf numFmtId="182" fontId="17" fillId="4" borderId="1" xfId="35" applyNumberFormat="1" applyFont="1" applyFill="1" applyBorder="1" applyAlignment="1" applyProtection="1">
      <alignment horizontal="center" vertical="center"/>
      <protection locked="0"/>
    </xf>
    <xf numFmtId="179" fontId="19" fillId="7" borderId="1" xfId="35" applyNumberFormat="1" applyFont="1" applyFill="1" applyBorder="1" applyAlignment="1" applyProtection="1">
      <alignment horizontal="center" vertical="center" wrapText="1"/>
      <protection locked="0"/>
    </xf>
    <xf numFmtId="182" fontId="19" fillId="7" borderId="1" xfId="35" applyNumberFormat="1" applyFont="1" applyFill="1" applyBorder="1" applyAlignment="1" applyProtection="1">
      <alignment horizontal="center" vertical="center" wrapText="1"/>
      <protection locked="0"/>
    </xf>
    <xf numFmtId="182" fontId="19" fillId="7" borderId="1" xfId="35" applyNumberFormat="1" applyFont="1" applyFill="1" applyBorder="1" applyAlignment="1" applyProtection="1">
      <alignment horizontal="center" vertical="center"/>
      <protection locked="0"/>
    </xf>
    <xf numFmtId="182" fontId="21" fillId="7" borderId="1" xfId="35" applyNumberFormat="1" applyFont="1" applyFill="1" applyBorder="1" applyAlignment="1" applyProtection="1">
      <alignment horizontal="center" vertical="center"/>
      <protection locked="0"/>
    </xf>
    <xf numFmtId="179" fontId="10" fillId="8" borderId="1" xfId="35" applyNumberFormat="1" applyFill="1" applyBorder="1" applyAlignment="1" applyProtection="1">
      <alignment horizontal="center" vertical="center"/>
      <protection locked="0"/>
    </xf>
    <xf numFmtId="179" fontId="19" fillId="7" borderId="1" xfId="35" applyNumberFormat="1" applyFont="1" applyFill="1" applyBorder="1" applyAlignment="1" applyProtection="1">
      <alignment horizontal="center" vertical="center"/>
      <protection locked="0"/>
    </xf>
    <xf numFmtId="179" fontId="19" fillId="7" borderId="3" xfId="35" applyNumberFormat="1" applyFont="1" applyFill="1" applyBorder="1" applyAlignment="1" applyProtection="1">
      <alignment horizontal="center" vertical="center"/>
      <protection locked="0"/>
    </xf>
    <xf numFmtId="179" fontId="21" fillId="3" borderId="1" xfId="35" applyNumberFormat="1" applyFont="1" applyFill="1" applyBorder="1" applyAlignment="1" applyProtection="1">
      <alignment horizontal="center" vertical="center"/>
      <protection locked="0"/>
    </xf>
    <xf numFmtId="184" fontId="10" fillId="5" borderId="1" xfId="35" applyNumberFormat="1" applyFill="1" applyBorder="1" applyAlignment="1" applyProtection="1">
      <alignment horizontal="center" vertical="center"/>
      <protection locked="0"/>
    </xf>
    <xf numFmtId="180" fontId="27" fillId="3" borderId="1" xfId="35" applyNumberFormat="1" applyFont="1" applyFill="1" applyBorder="1" applyAlignment="1" applyProtection="1">
      <alignment horizontal="center" vertical="center"/>
      <protection locked="0"/>
    </xf>
    <xf numFmtId="180" fontId="19" fillId="3" borderId="1" xfId="35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2" fontId="10" fillId="8" borderId="1" xfId="35" applyNumberFormat="1" applyFill="1" applyBorder="1" applyAlignment="1">
      <alignment horizontal="center" vertical="center"/>
    </xf>
    <xf numFmtId="0" fontId="41" fillId="4" borderId="2" xfId="3" applyFont="1" applyFill="1" applyBorder="1" applyAlignment="1">
      <alignment vertical="center"/>
    </xf>
    <xf numFmtId="0" fontId="14" fillId="4" borderId="2" xfId="3" applyFont="1" applyFill="1" applyBorder="1" applyAlignment="1">
      <alignment horizontal="center" vertical="center"/>
    </xf>
    <xf numFmtId="2" fontId="10" fillId="6" borderId="1" xfId="2" applyNumberFormat="1" applyFill="1" applyBorder="1" applyAlignment="1">
      <alignment horizontal="center" vertical="center"/>
    </xf>
    <xf numFmtId="10" fontId="8" fillId="0" borderId="0" xfId="0" applyNumberFormat="1" applyFont="1" applyAlignment="1">
      <alignment horizontal="left" vertical="top" wrapText="1"/>
    </xf>
    <xf numFmtId="49" fontId="49" fillId="0" borderId="0" xfId="17" applyNumberFormat="1" applyFont="1" applyAlignment="1">
      <alignment horizontal="left" vertical="center"/>
    </xf>
    <xf numFmtId="49" fontId="48" fillId="0" borderId="0" xfId="0" applyNumberFormat="1" applyFont="1" applyAlignment="1">
      <alignment horizontal="left" vertical="top" wrapText="1"/>
    </xf>
    <xf numFmtId="179" fontId="10" fillId="5" borderId="1" xfId="35" applyNumberFormat="1" applyFill="1" applyBorder="1" applyAlignment="1" applyProtection="1">
      <alignment horizontal="center" vertical="center"/>
      <protection locked="0"/>
    </xf>
    <xf numFmtId="181" fontId="19" fillId="7" borderId="1" xfId="35" applyNumberFormat="1" applyFont="1" applyFill="1" applyBorder="1" applyAlignment="1">
      <alignment horizontal="center" vertical="center"/>
    </xf>
    <xf numFmtId="182" fontId="10" fillId="5" borderId="1" xfId="35" applyNumberFormat="1" applyFill="1" applyBorder="1" applyAlignment="1" applyProtection="1">
      <alignment horizontal="center" vertical="center"/>
      <protection locked="0"/>
    </xf>
    <xf numFmtId="182" fontId="26" fillId="5" borderId="12" xfId="35" applyNumberFormat="1" applyFont="1" applyFill="1" applyBorder="1" applyAlignment="1" applyProtection="1">
      <alignment horizontal="center" vertical="center"/>
      <protection locked="0"/>
    </xf>
    <xf numFmtId="10" fontId="0" fillId="0" borderId="0" xfId="0" applyNumberFormat="1" applyAlignment="1">
      <alignment horizontal="left" vertical="top" wrapText="1"/>
    </xf>
    <xf numFmtId="176" fontId="66" fillId="0" borderId="1" xfId="12" applyNumberFormat="1" applyFont="1" applyBorder="1" applyAlignment="1">
      <alignment horizontal="center" vertical="center"/>
    </xf>
    <xf numFmtId="179" fontId="10" fillId="7" borderId="1" xfId="2" applyNumberFormat="1" applyFill="1" applyBorder="1" applyAlignment="1" applyProtection="1">
      <alignment horizontal="right" vertical="center"/>
      <protection locked="0"/>
    </xf>
    <xf numFmtId="0" fontId="8" fillId="0" borderId="0" xfId="0" applyFont="1"/>
    <xf numFmtId="0" fontId="6" fillId="0" borderId="0" xfId="0" applyFont="1"/>
    <xf numFmtId="188" fontId="8" fillId="0" borderId="0" xfId="0" applyNumberFormat="1" applyFont="1" applyAlignment="1">
      <alignment horizontal="left" vertical="top" wrapText="1"/>
    </xf>
    <xf numFmtId="193" fontId="27" fillId="9" borderId="1" xfId="35" applyNumberFormat="1" applyFont="1" applyFill="1" applyBorder="1" applyAlignment="1" applyProtection="1">
      <alignment horizontal="center" vertical="center"/>
      <protection locked="0"/>
    </xf>
    <xf numFmtId="176" fontId="8" fillId="0" borderId="0" xfId="0" applyNumberFormat="1" applyFont="1" applyAlignment="1">
      <alignment horizontal="left" vertical="top" wrapText="1"/>
    </xf>
    <xf numFmtId="0" fontId="22" fillId="0" borderId="0" xfId="0" applyFont="1" applyAlignment="1">
      <alignment vertical="center"/>
    </xf>
    <xf numFmtId="197" fontId="67" fillId="12" borderId="1" xfId="21" applyNumberFormat="1" applyFont="1" applyFill="1" applyBorder="1" applyAlignment="1">
      <alignment horizontal="center" vertical="center" wrapText="1"/>
    </xf>
    <xf numFmtId="178" fontId="19" fillId="18" borderId="1" xfId="21" applyNumberFormat="1" applyFont="1" applyFill="1" applyBorder="1" applyAlignment="1">
      <alignment horizontal="center" vertical="center"/>
    </xf>
    <xf numFmtId="49" fontId="36" fillId="0" borderId="0" xfId="0" applyNumberFormat="1" applyFont="1" applyAlignment="1">
      <alignment horizontal="left" vertical="top"/>
    </xf>
    <xf numFmtId="188" fontId="59" fillId="16" borderId="10" xfId="24" applyNumberFormat="1" applyFont="1" applyFill="1" applyBorder="1" applyAlignment="1">
      <alignment horizontal="center" vertical="center" wrapText="1"/>
    </xf>
    <xf numFmtId="0" fontId="57" fillId="17" borderId="1" xfId="27" applyFont="1" applyFill="1" applyBorder="1" applyAlignment="1">
      <alignment horizontal="left" vertical="center" wrapText="1"/>
    </xf>
    <xf numFmtId="210" fontId="57" fillId="0" borderId="1" xfId="24" applyNumberFormat="1" applyFont="1" applyBorder="1" applyAlignment="1">
      <alignment horizontal="center" vertical="center" wrapText="1"/>
    </xf>
    <xf numFmtId="176" fontId="57" fillId="0" borderId="0" xfId="24" applyNumberFormat="1" applyFont="1" applyAlignment="1">
      <alignment horizontal="center" vertical="center" wrapText="1"/>
    </xf>
    <xf numFmtId="0" fontId="57" fillId="17" borderId="1" xfId="27" applyFont="1" applyFill="1" applyBorder="1" applyAlignment="1">
      <alignment horizontal="center" vertical="center" wrapText="1"/>
    </xf>
    <xf numFmtId="176" fontId="10" fillId="4" borderId="5" xfId="36" applyNumberFormat="1" applyFill="1" applyBorder="1" applyAlignment="1" applyProtection="1">
      <alignment horizontal="center" vertical="center"/>
      <protection locked="0"/>
    </xf>
    <xf numFmtId="206" fontId="57" fillId="9" borderId="1" xfId="24" applyNumberFormat="1" applyFont="1" applyFill="1" applyBorder="1" applyAlignment="1">
      <alignment horizontal="center" vertical="center" wrapText="1"/>
    </xf>
    <xf numFmtId="193" fontId="59" fillId="16" borderId="1" xfId="24" applyNumberFormat="1" applyFont="1" applyFill="1" applyBorder="1" applyAlignment="1">
      <alignment horizontal="center" vertical="center" wrapText="1"/>
    </xf>
    <xf numFmtId="193" fontId="57" fillId="9" borderId="1" xfId="24" applyNumberFormat="1" applyFont="1" applyFill="1" applyBorder="1" applyAlignment="1">
      <alignment horizontal="center" vertical="center" wrapText="1"/>
    </xf>
    <xf numFmtId="188" fontId="59" fillId="9" borderId="1" xfId="24" applyNumberFormat="1" applyFont="1" applyFill="1" applyBorder="1" applyAlignment="1">
      <alignment horizontal="center" vertical="center" wrapText="1"/>
    </xf>
    <xf numFmtId="0" fontId="57" fillId="13" borderId="1" xfId="24" applyFont="1" applyFill="1" applyBorder="1" applyAlignment="1">
      <alignment horizontal="left" vertical="center" wrapText="1"/>
    </xf>
    <xf numFmtId="193" fontId="57" fillId="13" borderId="1" xfId="24" applyNumberFormat="1" applyFont="1" applyFill="1" applyBorder="1" applyAlignment="1">
      <alignment horizontal="center" vertical="center" wrapText="1"/>
    </xf>
    <xf numFmtId="177" fontId="10" fillId="5" borderId="1" xfId="35" applyNumberFormat="1" applyFill="1" applyBorder="1" applyAlignment="1" applyProtection="1">
      <alignment horizontal="center" vertical="center"/>
      <protection locked="0"/>
    </xf>
    <xf numFmtId="176" fontId="10" fillId="13" borderId="1" xfId="35" applyNumberFormat="1" applyFill="1" applyBorder="1" applyAlignment="1" applyProtection="1">
      <alignment horizontal="center" vertical="center"/>
      <protection locked="0"/>
    </xf>
    <xf numFmtId="176" fontId="10" fillId="13" borderId="5" xfId="35" applyNumberFormat="1" applyFill="1" applyBorder="1" applyAlignment="1" applyProtection="1">
      <alignment horizontal="center" vertical="center"/>
      <protection locked="0"/>
    </xf>
    <xf numFmtId="2" fontId="10" fillId="13" borderId="0" xfId="0" applyNumberFormat="1" applyFont="1" applyFill="1" applyAlignment="1">
      <alignment horizontal="center"/>
    </xf>
    <xf numFmtId="207" fontId="19" fillId="9" borderId="1" xfId="13" applyNumberFormat="1" applyFont="1" applyFill="1" applyBorder="1" applyAlignment="1">
      <alignment horizontal="center" vertical="center"/>
    </xf>
    <xf numFmtId="188" fontId="24" fillId="8" borderId="1" xfId="13" applyNumberFormat="1" applyFont="1" applyFill="1" applyBorder="1" applyAlignment="1">
      <alignment horizontal="center" vertical="center"/>
    </xf>
    <xf numFmtId="188" fontId="19" fillId="8" borderId="1" xfId="13" applyNumberFormat="1" applyFont="1" applyFill="1" applyBorder="1" applyAlignment="1">
      <alignment horizontal="center" vertical="center"/>
    </xf>
    <xf numFmtId="188" fontId="10" fillId="0" borderId="1" xfId="35" quotePrefix="1" applyNumberFormat="1" applyBorder="1" applyAlignment="1" applyProtection="1">
      <alignment horizontal="center" vertical="center"/>
      <protection locked="0"/>
    </xf>
    <xf numFmtId="188" fontId="10" fillId="0" borderId="1" xfId="35" applyNumberFormat="1" applyBorder="1" applyAlignment="1" applyProtection="1">
      <alignment horizontal="center" vertical="center"/>
      <protection locked="0"/>
    </xf>
    <xf numFmtId="188" fontId="19" fillId="11" borderId="1" xfId="35" applyNumberFormat="1" applyFont="1" applyFill="1" applyBorder="1" applyAlignment="1" applyProtection="1">
      <alignment horizontal="center" vertical="center"/>
      <protection locked="0"/>
    </xf>
    <xf numFmtId="188" fontId="19" fillId="11" borderId="1" xfId="35" applyNumberFormat="1" applyFont="1" applyFill="1" applyBorder="1" applyAlignment="1" applyProtection="1">
      <alignment horizontal="center" vertical="center" wrapText="1"/>
      <protection locked="0"/>
    </xf>
    <xf numFmtId="188" fontId="19" fillId="11" borderId="1" xfId="35" applyNumberFormat="1" applyFont="1" applyFill="1" applyBorder="1" applyAlignment="1">
      <alignment horizontal="center" vertical="center" wrapText="1"/>
    </xf>
    <xf numFmtId="188" fontId="10" fillId="8" borderId="1" xfId="35" applyNumberFormat="1" applyFill="1" applyBorder="1" applyAlignment="1">
      <alignment horizontal="center" vertical="center"/>
    </xf>
    <xf numFmtId="188" fontId="10" fillId="8" borderId="1" xfId="35" applyNumberFormat="1" applyFill="1" applyBorder="1" applyAlignment="1" applyProtection="1">
      <alignment horizontal="center" vertical="center"/>
      <protection locked="0"/>
    </xf>
    <xf numFmtId="188" fontId="19" fillId="7" borderId="1" xfId="35" applyNumberFormat="1" applyFont="1" applyFill="1" applyBorder="1" applyAlignment="1" applyProtection="1">
      <alignment horizontal="center" vertical="center" wrapText="1"/>
      <protection locked="0"/>
    </xf>
    <xf numFmtId="188" fontId="19" fillId="7" borderId="1" xfId="35" applyNumberFormat="1" applyFont="1" applyFill="1" applyBorder="1" applyAlignment="1" applyProtection="1">
      <alignment horizontal="center" vertical="center"/>
      <protection locked="0"/>
    </xf>
    <xf numFmtId="188" fontId="21" fillId="7" borderId="1" xfId="35" applyNumberFormat="1" applyFont="1" applyFill="1" applyBorder="1" applyAlignment="1" applyProtection="1">
      <alignment horizontal="center" vertical="center"/>
      <protection locked="0"/>
    </xf>
    <xf numFmtId="188" fontId="19" fillId="7" borderId="3" xfId="35" applyNumberFormat="1" applyFont="1" applyFill="1" applyBorder="1" applyAlignment="1" applyProtection="1">
      <alignment horizontal="center" vertical="center"/>
      <protection locked="0"/>
    </xf>
    <xf numFmtId="188" fontId="21" fillId="3" borderId="1" xfId="35" applyNumberFormat="1" applyFont="1" applyFill="1" applyBorder="1" applyAlignment="1" applyProtection="1">
      <alignment horizontal="center" vertical="center"/>
      <protection locked="0"/>
    </xf>
    <xf numFmtId="188" fontId="27" fillId="3" borderId="1" xfId="35" applyNumberFormat="1" applyFont="1" applyFill="1" applyBorder="1" applyAlignment="1" applyProtection="1">
      <alignment horizontal="center" vertical="center"/>
      <protection locked="0"/>
    </xf>
    <xf numFmtId="178" fontId="24" fillId="8" borderId="1" xfId="4" applyNumberFormat="1" applyFont="1" applyFill="1" applyBorder="1" applyAlignment="1">
      <alignment horizontal="center" vertical="center"/>
    </xf>
    <xf numFmtId="2" fontId="10" fillId="5" borderId="1" xfId="35" applyNumberFormat="1" applyFill="1" applyBorder="1" applyAlignment="1" applyProtection="1">
      <alignment horizontal="center" vertical="center"/>
      <protection locked="0"/>
    </xf>
    <xf numFmtId="179" fontId="19" fillId="3" borderId="1" xfId="35" applyNumberFormat="1" applyFont="1" applyFill="1" applyBorder="1" applyAlignment="1" applyProtection="1">
      <alignment horizontal="center" vertical="center"/>
      <protection locked="0"/>
    </xf>
    <xf numFmtId="176" fontId="10" fillId="9" borderId="0" xfId="29" applyNumberFormat="1" applyFont="1" applyFill="1"/>
    <xf numFmtId="188" fontId="24" fillId="8" borderId="1" xfId="29" applyNumberFormat="1" applyFont="1" applyFill="1" applyBorder="1" applyAlignment="1">
      <alignment horizontal="center" vertical="center"/>
    </xf>
    <xf numFmtId="49" fontId="8" fillId="0" borderId="0" xfId="29" applyNumberFormat="1" applyAlignment="1">
      <alignment horizontal="left" vertical="top"/>
    </xf>
    <xf numFmtId="188" fontId="19" fillId="3" borderId="1" xfId="29" applyNumberFormat="1" applyFont="1" applyFill="1" applyBorder="1" applyAlignment="1">
      <alignment horizontal="center" vertical="center"/>
    </xf>
    <xf numFmtId="188" fontId="23" fillId="7" borderId="1" xfId="29" applyNumberFormat="1" applyFont="1" applyFill="1" applyBorder="1" applyAlignment="1">
      <alignment horizontal="center" vertical="center"/>
    </xf>
    <xf numFmtId="188" fontId="25" fillId="8" borderId="0" xfId="29" applyNumberFormat="1" applyFont="1" applyFill="1" applyAlignment="1">
      <alignment horizontal="center" vertical="center"/>
    </xf>
    <xf numFmtId="188" fontId="19" fillId="7" borderId="1" xfId="29" applyNumberFormat="1" applyFont="1" applyFill="1" applyBorder="1" applyAlignment="1">
      <alignment horizontal="center" vertical="center"/>
    </xf>
    <xf numFmtId="178" fontId="10" fillId="0" borderId="0" xfId="29" applyNumberFormat="1" applyFont="1" applyAlignment="1">
      <alignment horizontal="center"/>
    </xf>
    <xf numFmtId="188" fontId="21" fillId="4" borderId="1" xfId="29" applyNumberFormat="1" applyFont="1" applyFill="1" applyBorder="1" applyAlignment="1">
      <alignment horizontal="center" vertical="center"/>
    </xf>
    <xf numFmtId="188" fontId="22" fillId="4" borderId="1" xfId="29" applyNumberFormat="1" applyFont="1" applyFill="1" applyBorder="1" applyAlignment="1">
      <alignment horizontal="left" vertical="center"/>
    </xf>
    <xf numFmtId="188" fontId="20" fillId="4" borderId="3" xfId="29" applyNumberFormat="1" applyFont="1" applyFill="1" applyBorder="1" applyAlignment="1" applyProtection="1">
      <alignment horizontal="center" vertical="center"/>
      <protection locked="0"/>
    </xf>
    <xf numFmtId="188" fontId="10" fillId="4" borderId="1" xfId="29" applyNumberFormat="1" applyFont="1" applyFill="1" applyBorder="1" applyAlignment="1" applyProtection="1">
      <alignment horizontal="right" vertical="center"/>
      <protection locked="0"/>
    </xf>
    <xf numFmtId="198" fontId="10" fillId="5" borderId="1" xfId="35" applyNumberFormat="1" applyFill="1" applyBorder="1" applyAlignment="1" applyProtection="1">
      <alignment horizontal="center" vertical="center"/>
      <protection locked="0"/>
    </xf>
    <xf numFmtId="188" fontId="17" fillId="4" borderId="1" xfId="29" applyNumberFormat="1" applyFont="1" applyFill="1" applyBorder="1" applyAlignment="1" applyProtection="1">
      <alignment horizontal="center" vertical="center"/>
      <protection locked="0"/>
    </xf>
    <xf numFmtId="188" fontId="10" fillId="4" borderId="1" xfId="29" applyNumberFormat="1" applyFont="1" applyFill="1" applyBorder="1" applyAlignment="1" applyProtection="1">
      <alignment horizontal="center" vertical="center"/>
      <protection locked="0"/>
    </xf>
    <xf numFmtId="188" fontId="14" fillId="4" borderId="0" xfId="29" applyNumberFormat="1" applyFont="1" applyFill="1" applyAlignment="1">
      <alignment horizontal="center" vertical="center"/>
    </xf>
    <xf numFmtId="188" fontId="10" fillId="4" borderId="0" xfId="29" applyNumberFormat="1" applyFont="1" applyFill="1" applyAlignment="1">
      <alignment horizontal="right"/>
    </xf>
    <xf numFmtId="188" fontId="10" fillId="0" borderId="0" xfId="29" applyNumberFormat="1" applyFont="1" applyAlignment="1">
      <alignment vertical="center"/>
    </xf>
    <xf numFmtId="188" fontId="11" fillId="4" borderId="0" xfId="29" applyNumberFormat="1" applyFont="1" applyFill="1" applyAlignment="1">
      <alignment horizontal="center" vertical="center"/>
    </xf>
    <xf numFmtId="188" fontId="10" fillId="4" borderId="1" xfId="35" applyNumberFormat="1" applyFill="1" applyBorder="1" applyAlignment="1" applyProtection="1">
      <alignment vertical="center"/>
      <protection locked="0"/>
    </xf>
    <xf numFmtId="188" fontId="17" fillId="4" borderId="1" xfId="35" applyNumberFormat="1" applyFont="1" applyFill="1" applyBorder="1" applyAlignment="1" applyProtection="1">
      <alignment vertical="center"/>
      <protection locked="0"/>
    </xf>
    <xf numFmtId="188" fontId="10" fillId="8" borderId="1" xfId="29" applyNumberFormat="1" applyFont="1" applyFill="1" applyBorder="1" applyAlignment="1">
      <alignment vertical="center"/>
    </xf>
    <xf numFmtId="188" fontId="10" fillId="8" borderId="1" xfId="35" applyNumberFormat="1" applyFill="1" applyBorder="1" applyAlignment="1" applyProtection="1">
      <alignment vertical="center"/>
      <protection locked="0"/>
    </xf>
    <xf numFmtId="0" fontId="10" fillId="5" borderId="1" xfId="35" applyFill="1" applyBorder="1" applyAlignment="1" applyProtection="1">
      <alignment horizontal="center" vertical="center"/>
      <protection locked="0"/>
    </xf>
    <xf numFmtId="0" fontId="19" fillId="12" borderId="1" xfId="0" applyFont="1" applyFill="1" applyBorder="1" applyAlignment="1">
      <alignment vertical="center"/>
    </xf>
    <xf numFmtId="2" fontId="19" fillId="12" borderId="1" xfId="0" applyNumberFormat="1" applyFont="1" applyFill="1" applyBorder="1" applyAlignment="1">
      <alignment horizontal="center" vertical="center"/>
    </xf>
    <xf numFmtId="0" fontId="10" fillId="5" borderId="1" xfId="2" applyFill="1" applyBorder="1" applyAlignment="1" applyProtection="1">
      <alignment horizontal="center" vertical="center"/>
      <protection locked="0"/>
    </xf>
    <xf numFmtId="0" fontId="70" fillId="0" borderId="1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176" fontId="71" fillId="0" borderId="5" xfId="35" applyNumberFormat="1" applyFont="1" applyBorder="1" applyAlignment="1" applyProtection="1">
      <alignment horizontal="center" vertical="center"/>
      <protection locked="0"/>
    </xf>
    <xf numFmtId="186" fontId="10" fillId="5" borderId="1" xfId="2" applyNumberFormat="1" applyFill="1" applyBorder="1" applyAlignment="1" applyProtection="1">
      <alignment horizontal="center" vertical="center"/>
      <protection locked="0"/>
    </xf>
    <xf numFmtId="186" fontId="10" fillId="9" borderId="1" xfId="2" applyNumberFormat="1" applyFill="1" applyBorder="1" applyAlignment="1" applyProtection="1">
      <alignment horizontal="center" vertical="center"/>
      <protection locked="0"/>
    </xf>
    <xf numFmtId="0" fontId="10" fillId="13" borderId="0" xfId="0" applyFont="1" applyFill="1" applyAlignment="1">
      <alignment horizontal="center"/>
    </xf>
    <xf numFmtId="193" fontId="57" fillId="2" borderId="0" xfId="24" applyNumberFormat="1" applyFont="1" applyFill="1" applyAlignment="1">
      <alignment horizontal="center" vertical="center"/>
    </xf>
    <xf numFmtId="188" fontId="59" fillId="2" borderId="1" xfId="24" applyNumberFormat="1" applyFont="1" applyFill="1" applyBorder="1" applyAlignment="1">
      <alignment horizontal="center" vertical="center" wrapText="1"/>
    </xf>
    <xf numFmtId="188" fontId="59" fillId="2" borderId="0" xfId="24" applyNumberFormat="1" applyFont="1" applyFill="1" applyAlignment="1">
      <alignment horizontal="center" vertical="center" wrapText="1"/>
    </xf>
    <xf numFmtId="10" fontId="10" fillId="0" borderId="0" xfId="12" applyNumberFormat="1" applyFont="1"/>
    <xf numFmtId="1" fontId="24" fillId="5" borderId="1" xfId="29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right"/>
    </xf>
    <xf numFmtId="0" fontId="20" fillId="4" borderId="1" xfId="0" applyFont="1" applyFill="1" applyBorder="1" applyAlignment="1" applyProtection="1">
      <alignment horizontal="center" vertical="center"/>
      <protection locked="0"/>
    </xf>
    <xf numFmtId="2" fontId="6" fillId="0" borderId="0" xfId="0" applyNumberFormat="1" applyFont="1"/>
    <xf numFmtId="178" fontId="6" fillId="0" borderId="0" xfId="29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/>
    </xf>
    <xf numFmtId="0" fontId="32" fillId="13" borderId="1" xfId="17" applyFont="1" applyFill="1" applyBorder="1" applyAlignment="1">
      <alignment horizontal="center" vertical="center"/>
    </xf>
    <xf numFmtId="180" fontId="53" fillId="12" borderId="1" xfId="23" applyNumberFormat="1" applyFont="1" applyFill="1" applyBorder="1" applyAlignment="1">
      <alignment horizontal="center" vertical="center" wrapText="1"/>
    </xf>
    <xf numFmtId="178" fontId="10" fillId="18" borderId="1" xfId="21" applyNumberFormat="1" applyFill="1" applyBorder="1" applyAlignment="1">
      <alignment horizontal="center" vertical="center"/>
    </xf>
    <xf numFmtId="178" fontId="19" fillId="18" borderId="1" xfId="21" applyNumberFormat="1" applyFont="1" applyFill="1" applyBorder="1" applyAlignment="1">
      <alignment horizontal="center" vertical="center" wrapText="1"/>
    </xf>
    <xf numFmtId="183" fontId="10" fillId="0" borderId="0" xfId="21" applyNumberFormat="1" applyAlignment="1">
      <alignment vertical="center"/>
    </xf>
    <xf numFmtId="178" fontId="10" fillId="13" borderId="0" xfId="21" applyNumberFormat="1" applyFill="1" applyAlignment="1">
      <alignment horizontal="center" vertical="center"/>
    </xf>
    <xf numFmtId="179" fontId="19" fillId="13" borderId="1" xfId="2" applyNumberFormat="1" applyFont="1" applyFill="1" applyBorder="1" applyAlignment="1" applyProtection="1">
      <alignment horizontal="center" vertical="center"/>
      <protection locked="0"/>
    </xf>
    <xf numFmtId="176" fontId="10" fillId="13" borderId="1" xfId="0" applyNumberFormat="1" applyFont="1" applyFill="1" applyBorder="1"/>
    <xf numFmtId="207" fontId="19" fillId="5" borderId="1" xfId="13" applyNumberFormat="1" applyFont="1" applyFill="1" applyBorder="1" applyAlignment="1">
      <alignment horizontal="center" vertical="center"/>
    </xf>
    <xf numFmtId="194" fontId="24" fillId="5" borderId="1" xfId="0" applyNumberFormat="1" applyFont="1" applyFill="1" applyBorder="1" applyAlignment="1">
      <alignment horizontal="center" vertical="center"/>
    </xf>
    <xf numFmtId="0" fontId="11" fillId="4" borderId="0" xfId="16" applyFont="1" applyFill="1" applyAlignment="1">
      <alignment horizontal="center" vertical="center"/>
    </xf>
    <xf numFmtId="0" fontId="10" fillId="0" borderId="0" xfId="16" applyFont="1">
      <alignment vertical="center"/>
    </xf>
    <xf numFmtId="0" fontId="10" fillId="4" borderId="0" xfId="16" applyFont="1" applyFill="1" applyAlignment="1">
      <alignment horizontal="right"/>
    </xf>
    <xf numFmtId="0" fontId="14" fillId="4" borderId="0" xfId="16" applyFont="1" applyFill="1" applyAlignment="1">
      <alignment horizontal="center" vertical="center"/>
    </xf>
    <xf numFmtId="0" fontId="10" fillId="4" borderId="1" xfId="16" applyFont="1" applyFill="1" applyBorder="1" applyAlignment="1" applyProtection="1">
      <alignment horizontal="center" vertical="center"/>
      <protection locked="0"/>
    </xf>
    <xf numFmtId="0" fontId="17" fillId="4" borderId="1" xfId="16" applyFont="1" applyFill="1" applyBorder="1" applyAlignment="1" applyProtection="1">
      <alignment horizontal="center" vertical="center"/>
      <protection locked="0"/>
    </xf>
    <xf numFmtId="2" fontId="10" fillId="4" borderId="1" xfId="16" applyNumberFormat="1" applyFont="1" applyFill="1" applyBorder="1" applyAlignment="1" applyProtection="1">
      <alignment horizontal="right" vertical="center"/>
      <protection locked="0"/>
    </xf>
    <xf numFmtId="0" fontId="20" fillId="4" borderId="3" xfId="16" applyFont="1" applyFill="1" applyBorder="1" applyAlignment="1" applyProtection="1">
      <alignment horizontal="center" vertical="center"/>
      <protection locked="0"/>
    </xf>
    <xf numFmtId="177" fontId="21" fillId="4" borderId="1" xfId="16" applyNumberFormat="1" applyFont="1" applyFill="1" applyBorder="1" applyAlignment="1">
      <alignment horizontal="center" vertical="center"/>
    </xf>
    <xf numFmtId="0" fontId="22" fillId="4" borderId="1" xfId="16" applyFont="1" applyFill="1" applyBorder="1" applyAlignment="1">
      <alignment horizontal="left" vertical="center"/>
    </xf>
    <xf numFmtId="2" fontId="21" fillId="4" borderId="1" xfId="16" applyNumberFormat="1" applyFont="1" applyFill="1" applyBorder="1" applyAlignment="1">
      <alignment horizontal="center" vertical="center"/>
    </xf>
    <xf numFmtId="182" fontId="10" fillId="8" borderId="1" xfId="16" applyNumberFormat="1" applyFont="1" applyFill="1" applyBorder="1" applyAlignment="1">
      <alignment horizontal="center" vertical="center"/>
    </xf>
    <xf numFmtId="182" fontId="23" fillId="7" borderId="1" xfId="16" applyNumberFormat="1" applyFont="1" applyFill="1" applyBorder="1" applyAlignment="1">
      <alignment horizontal="center" vertical="center"/>
    </xf>
    <xf numFmtId="182" fontId="19" fillId="7" borderId="1" xfId="16" applyNumberFormat="1" applyFont="1" applyFill="1" applyBorder="1" applyAlignment="1">
      <alignment horizontal="center" vertical="center"/>
    </xf>
    <xf numFmtId="0" fontId="25" fillId="8" borderId="0" xfId="16" applyFont="1" applyFill="1" applyAlignment="1">
      <alignment horizontal="center" vertical="center"/>
    </xf>
    <xf numFmtId="0" fontId="23" fillId="7" borderId="1" xfId="16" applyFont="1" applyFill="1" applyBorder="1" applyAlignment="1">
      <alignment horizontal="center" vertical="center"/>
    </xf>
    <xf numFmtId="0" fontId="19" fillId="3" borderId="1" xfId="16" applyFont="1" applyFill="1" applyBorder="1" applyAlignment="1">
      <alignment horizontal="center" vertical="center"/>
    </xf>
    <xf numFmtId="1" fontId="24" fillId="8" borderId="1" xfId="16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183" fontId="10" fillId="3" borderId="1" xfId="2" applyNumberFormat="1" applyFill="1" applyBorder="1" applyAlignment="1">
      <alignment horizontal="center" vertical="center"/>
    </xf>
    <xf numFmtId="191" fontId="10" fillId="4" borderId="1" xfId="2" applyNumberFormat="1" applyFill="1" applyBorder="1" applyAlignment="1" applyProtection="1">
      <alignment horizontal="center" vertical="center"/>
      <protection locked="0"/>
    </xf>
    <xf numFmtId="191" fontId="41" fillId="4" borderId="1" xfId="38" applyNumberFormat="1" applyFont="1" applyFill="1" applyBorder="1" applyAlignment="1">
      <alignment horizontal="center"/>
    </xf>
    <xf numFmtId="184" fontId="10" fillId="3" borderId="1" xfId="2" applyNumberFormat="1" applyFill="1" applyBorder="1" applyAlignment="1">
      <alignment horizontal="center" vertical="center"/>
    </xf>
    <xf numFmtId="191" fontId="17" fillId="4" borderId="1" xfId="2" applyNumberFormat="1" applyFont="1" applyFill="1" applyBorder="1" applyAlignment="1" applyProtection="1">
      <alignment horizontal="center" vertical="center"/>
      <protection locked="0"/>
    </xf>
    <xf numFmtId="180" fontId="0" fillId="0" borderId="0" xfId="0" applyNumberFormat="1" applyAlignment="1">
      <alignment horizontal="left" vertical="top" wrapText="1"/>
    </xf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14" fillId="4" borderId="2" xfId="0" applyFont="1" applyFill="1" applyBorder="1" applyAlignment="1">
      <alignment horizontal="center" vertical="center"/>
    </xf>
    <xf numFmtId="0" fontId="17" fillId="4" borderId="3" xfId="2" applyFont="1" applyFill="1" applyBorder="1" applyAlignment="1" applyProtection="1">
      <alignment horizontal="left" vertical="center"/>
      <protection locked="0"/>
    </xf>
    <xf numFmtId="0" fontId="17" fillId="4" borderId="4" xfId="2" applyFont="1" applyFill="1" applyBorder="1" applyAlignment="1" applyProtection="1">
      <alignment horizontal="left" vertical="center"/>
      <protection locked="0"/>
    </xf>
    <xf numFmtId="0" fontId="17" fillId="4" borderId="5" xfId="2" applyFont="1" applyFill="1" applyBorder="1" applyAlignment="1" applyProtection="1">
      <alignment horizontal="left" vertical="center"/>
      <protection locked="0"/>
    </xf>
    <xf numFmtId="0" fontId="17" fillId="5" borderId="1" xfId="2" applyFont="1" applyFill="1" applyBorder="1" applyAlignment="1" applyProtection="1">
      <alignment horizontal="center" vertical="center"/>
      <protection locked="0"/>
    </xf>
    <xf numFmtId="0" fontId="10" fillId="0" borderId="0" xfId="2" applyAlignment="1">
      <alignment horizontal="center" vertical="center"/>
    </xf>
    <xf numFmtId="0" fontId="10" fillId="6" borderId="1" xfId="2" applyFill="1" applyBorder="1" applyAlignment="1">
      <alignment horizontal="center" vertical="center"/>
    </xf>
    <xf numFmtId="193" fontId="14" fillId="4" borderId="2" xfId="0" applyNumberFormat="1" applyFont="1" applyFill="1" applyBorder="1" applyAlignment="1">
      <alignment horizontal="center" vertical="center"/>
    </xf>
    <xf numFmtId="193" fontId="17" fillId="4" borderId="1" xfId="2" applyNumberFormat="1" applyFont="1" applyFill="1" applyBorder="1" applyAlignment="1" applyProtection="1">
      <alignment horizontal="center" vertical="center"/>
      <protection locked="0"/>
    </xf>
    <xf numFmtId="193" fontId="19" fillId="4" borderId="1" xfId="2" applyNumberFormat="1" applyFont="1" applyFill="1" applyBorder="1" applyAlignment="1" applyProtection="1">
      <alignment horizontal="center" vertical="center"/>
      <protection locked="0"/>
    </xf>
    <xf numFmtId="193" fontId="14" fillId="4" borderId="2" xfId="3" applyNumberFormat="1" applyFont="1" applyFill="1" applyBorder="1" applyAlignment="1">
      <alignment horizontal="center" vertical="center"/>
    </xf>
    <xf numFmtId="193" fontId="21" fillId="4" borderId="1" xfId="3" applyNumberFormat="1" applyFont="1" applyFill="1" applyBorder="1" applyAlignment="1">
      <alignment horizontal="center" vertical="center"/>
    </xf>
    <xf numFmtId="1" fontId="0" fillId="0" borderId="0" xfId="0" applyNumberFormat="1"/>
    <xf numFmtId="0" fontId="10" fillId="0" borderId="0" xfId="2" applyAlignment="1">
      <alignment horizontal="left" vertical="center"/>
    </xf>
    <xf numFmtId="0" fontId="78" fillId="0" borderId="0" xfId="0" applyFont="1"/>
    <xf numFmtId="188" fontId="10" fillId="9" borderId="1" xfId="35" applyNumberFormat="1" applyFill="1" applyBorder="1" applyAlignment="1" applyProtection="1">
      <alignment horizontal="center" vertical="center"/>
      <protection locked="0"/>
    </xf>
    <xf numFmtId="193" fontId="10" fillId="9" borderId="0" xfId="0" applyNumberFormat="1" applyFont="1" applyFill="1"/>
    <xf numFmtId="193" fontId="10" fillId="0" borderId="1" xfId="35" applyNumberFormat="1" applyBorder="1" applyAlignment="1" applyProtection="1">
      <alignment horizontal="center" vertical="center"/>
      <protection locked="0"/>
    </xf>
    <xf numFmtId="193" fontId="10" fillId="4" borderId="5" xfId="10" applyNumberFormat="1" applyFill="1" applyBorder="1" applyAlignment="1" applyProtection="1">
      <alignment horizontal="center" vertical="center"/>
      <protection locked="0"/>
    </xf>
    <xf numFmtId="14" fontId="19" fillId="12" borderId="1" xfId="0" applyNumberFormat="1" applyFont="1" applyFill="1" applyBorder="1" applyAlignment="1">
      <alignment horizontal="center" vertical="center" wrapText="1"/>
    </xf>
    <xf numFmtId="188" fontId="59" fillId="16" borderId="5" xfId="24" applyNumberFormat="1" applyFont="1" applyFill="1" applyBorder="1" applyAlignment="1">
      <alignment horizontal="center" vertical="center" wrapText="1"/>
    </xf>
    <xf numFmtId="0" fontId="20" fillId="12" borderId="1" xfId="22" applyFont="1" applyFill="1" applyBorder="1" applyAlignment="1">
      <alignment horizontal="left" vertical="center" wrapText="1"/>
    </xf>
    <xf numFmtId="0" fontId="72" fillId="12" borderId="1" xfId="23" applyFont="1" applyFill="1" applyBorder="1" applyAlignment="1">
      <alignment horizontal="center" vertical="center" wrapText="1"/>
    </xf>
    <xf numFmtId="49" fontId="46" fillId="0" borderId="0" xfId="0" applyNumberFormat="1" applyFont="1" applyAlignment="1">
      <alignment horizontal="left" vertical="top"/>
    </xf>
    <xf numFmtId="0" fontId="17" fillId="0" borderId="3" xfId="2" applyFont="1" applyBorder="1" applyAlignment="1" applyProtection="1">
      <alignment horizontal="left" vertical="center"/>
      <protection locked="0"/>
    </xf>
    <xf numFmtId="0" fontId="17" fillId="0" borderId="4" xfId="2" applyFont="1" applyBorder="1" applyAlignment="1" applyProtection="1">
      <alignment horizontal="left" vertical="center"/>
      <protection locked="0"/>
    </xf>
    <xf numFmtId="0" fontId="17" fillId="0" borderId="5" xfId="2" applyFont="1" applyBorder="1" applyAlignment="1" applyProtection="1">
      <alignment horizontal="left" vertical="center"/>
      <protection locked="0"/>
    </xf>
    <xf numFmtId="0" fontId="17" fillId="4" borderId="1" xfId="0" applyFont="1" applyFill="1" applyBorder="1" applyAlignment="1">
      <alignment horizontal="left" vertical="center"/>
    </xf>
    <xf numFmtId="0" fontId="20" fillId="7" borderId="6" xfId="2" applyFont="1" applyFill="1" applyBorder="1" applyAlignment="1" applyProtection="1">
      <alignment horizontal="center" vertical="center"/>
      <protection locked="0"/>
    </xf>
    <xf numFmtId="0" fontId="20" fillId="7" borderId="7" xfId="2" applyFont="1" applyFill="1" applyBorder="1" applyAlignment="1" applyProtection="1">
      <alignment horizontal="center" vertical="center"/>
      <protection locked="0"/>
    </xf>
    <xf numFmtId="0" fontId="20" fillId="7" borderId="8" xfId="2" applyFont="1" applyFill="1" applyBorder="1" applyAlignment="1" applyProtection="1">
      <alignment horizontal="center" vertical="center"/>
      <protection locked="0"/>
    </xf>
    <xf numFmtId="0" fontId="20" fillId="7" borderId="9" xfId="2" applyFont="1" applyFill="1" applyBorder="1" applyAlignment="1" applyProtection="1">
      <alignment horizontal="center" vertical="center"/>
      <protection locked="0"/>
    </xf>
    <xf numFmtId="0" fontId="20" fillId="7" borderId="13" xfId="2" applyFont="1" applyFill="1" applyBorder="1" applyAlignment="1" applyProtection="1">
      <alignment horizontal="center" vertical="center"/>
      <protection locked="0"/>
    </xf>
    <xf numFmtId="0" fontId="20" fillId="7" borderId="14" xfId="2" applyFont="1" applyFill="1" applyBorder="1" applyAlignment="1" applyProtection="1">
      <alignment horizontal="center" vertical="center"/>
      <protection locked="0"/>
    </xf>
    <xf numFmtId="179" fontId="19" fillId="3" borderId="1" xfId="2" applyNumberFormat="1" applyFont="1" applyFill="1" applyBorder="1" applyAlignment="1" applyProtection="1">
      <alignment horizontal="center" vertical="center"/>
      <protection locked="0"/>
    </xf>
    <xf numFmtId="0" fontId="19" fillId="3" borderId="10" xfId="0" applyFont="1" applyFill="1" applyBorder="1" applyAlignment="1">
      <alignment horizontal="center" vertical="center" wrapText="1"/>
    </xf>
    <xf numFmtId="0" fontId="24" fillId="3" borderId="11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/>
    </xf>
    <xf numFmtId="14" fontId="10" fillId="4" borderId="1" xfId="0" applyNumberFormat="1" applyFont="1" applyFill="1" applyBorder="1" applyAlignment="1" applyProtection="1">
      <alignment horizontal="center" vertical="center"/>
      <protection locked="0"/>
    </xf>
    <xf numFmtId="0" fontId="18" fillId="4" borderId="3" xfId="0" applyFont="1" applyFill="1" applyBorder="1" applyAlignment="1" applyProtection="1">
      <alignment horizontal="left" vertical="center"/>
      <protection locked="0"/>
    </xf>
    <xf numFmtId="0" fontId="18" fillId="4" borderId="4" xfId="0" applyFont="1" applyFill="1" applyBorder="1" applyAlignment="1" applyProtection="1">
      <alignment horizontal="left" vertical="center"/>
      <protection locked="0"/>
    </xf>
    <xf numFmtId="0" fontId="18" fillId="4" borderId="5" xfId="0" applyFont="1" applyFill="1" applyBorder="1" applyAlignment="1" applyProtection="1">
      <alignment horizontal="left" vertical="center"/>
      <protection locked="0"/>
    </xf>
    <xf numFmtId="0" fontId="18" fillId="4" borderId="1" xfId="0" applyFont="1" applyFill="1" applyBorder="1" applyAlignment="1" applyProtection="1">
      <alignment horizontal="center" vertical="center" wrapText="1"/>
      <protection locked="0"/>
    </xf>
    <xf numFmtId="0" fontId="10" fillId="4" borderId="1" xfId="0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left" vertical="center"/>
      <protection locked="0"/>
    </xf>
    <xf numFmtId="0" fontId="10" fillId="4" borderId="3" xfId="2" applyFill="1" applyBorder="1" applyAlignment="1" applyProtection="1">
      <alignment horizontal="left" vertical="center"/>
      <protection locked="0"/>
    </xf>
    <xf numFmtId="0" fontId="10" fillId="4" borderId="4" xfId="2" applyFill="1" applyBorder="1" applyAlignment="1" applyProtection="1">
      <alignment horizontal="left" vertical="center"/>
      <protection locked="0"/>
    </xf>
    <xf numFmtId="0" fontId="10" fillId="4" borderId="5" xfId="2" applyFill="1" applyBorder="1" applyAlignment="1" applyProtection="1">
      <alignment horizontal="left" vertical="center"/>
      <protection locked="0"/>
    </xf>
    <xf numFmtId="0" fontId="11" fillId="3" borderId="0" xfId="2" applyFont="1" applyFill="1" applyAlignment="1">
      <alignment horizontal="center" vertical="center"/>
    </xf>
    <xf numFmtId="14" fontId="16" fillId="4" borderId="1" xfId="2" applyNumberFormat="1" applyFont="1" applyFill="1" applyBorder="1" applyAlignment="1" applyProtection="1">
      <alignment horizontal="center" vertical="center"/>
      <protection locked="0"/>
    </xf>
    <xf numFmtId="0" fontId="16" fillId="4" borderId="1" xfId="2" applyFont="1" applyFill="1" applyBorder="1" applyAlignment="1" applyProtection="1">
      <alignment horizontal="center" vertical="center"/>
      <protection locked="0"/>
    </xf>
    <xf numFmtId="0" fontId="19" fillId="4" borderId="1" xfId="2" applyFont="1" applyFill="1" applyBorder="1" applyAlignment="1" applyProtection="1">
      <alignment horizontal="center" vertical="center" wrapText="1" shrinkToFit="1"/>
      <protection locked="0"/>
    </xf>
    <xf numFmtId="0" fontId="10" fillId="4" borderId="1" xfId="2" applyFill="1" applyBorder="1" applyAlignment="1" applyProtection="1">
      <alignment horizontal="center" vertical="center"/>
      <protection locked="0"/>
    </xf>
    <xf numFmtId="0" fontId="10" fillId="4" borderId="11" xfId="0" applyFont="1" applyFill="1" applyBorder="1" applyAlignment="1" applyProtection="1">
      <alignment horizontal="center" vertical="center"/>
      <protection locked="0"/>
    </xf>
    <xf numFmtId="0" fontId="19" fillId="3" borderId="10" xfId="3" applyFont="1" applyFill="1" applyBorder="1" applyAlignment="1">
      <alignment horizontal="center" vertical="center" wrapText="1"/>
    </xf>
    <xf numFmtId="0" fontId="24" fillId="3" borderId="11" xfId="3" applyFont="1" applyFill="1" applyBorder="1" applyAlignment="1">
      <alignment horizontal="center" vertical="center" wrapText="1"/>
    </xf>
    <xf numFmtId="0" fontId="17" fillId="4" borderId="1" xfId="3" applyFont="1" applyFill="1" applyBorder="1" applyAlignment="1">
      <alignment horizontal="left" vertical="center"/>
    </xf>
    <xf numFmtId="179" fontId="19" fillId="13" borderId="1" xfId="2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0" fillId="7" borderId="6" xfId="9" applyFont="1" applyFill="1" applyBorder="1" applyAlignment="1" applyProtection="1">
      <alignment horizontal="center" vertical="center"/>
      <protection locked="0"/>
    </xf>
    <xf numFmtId="0" fontId="20" fillId="7" borderId="7" xfId="9" applyFont="1" applyFill="1" applyBorder="1" applyAlignment="1" applyProtection="1">
      <alignment horizontal="center" vertical="center"/>
      <protection locked="0"/>
    </xf>
    <xf numFmtId="0" fontId="20" fillId="7" borderId="8" xfId="9" applyFont="1" applyFill="1" applyBorder="1" applyAlignment="1" applyProtection="1">
      <alignment horizontal="center" vertical="center"/>
      <protection locked="0"/>
    </xf>
    <xf numFmtId="0" fontId="20" fillId="7" borderId="9" xfId="9" applyFont="1" applyFill="1" applyBorder="1" applyAlignment="1" applyProtection="1">
      <alignment horizontal="center" vertical="center"/>
      <protection locked="0"/>
    </xf>
    <xf numFmtId="0" fontId="20" fillId="7" borderId="13" xfId="9" applyFont="1" applyFill="1" applyBorder="1" applyAlignment="1" applyProtection="1">
      <alignment horizontal="center" vertical="center"/>
      <protection locked="0"/>
    </xf>
    <xf numFmtId="0" fontId="20" fillId="7" borderId="14" xfId="9" applyFont="1" applyFill="1" applyBorder="1" applyAlignment="1" applyProtection="1">
      <alignment horizontal="center" vertical="center"/>
      <protection locked="0"/>
    </xf>
    <xf numFmtId="179" fontId="19" fillId="13" borderId="1" xfId="9" applyNumberFormat="1" applyFont="1" applyFill="1" applyBorder="1" applyAlignment="1" applyProtection="1">
      <alignment horizontal="center" vertical="center"/>
      <protection locked="0"/>
    </xf>
    <xf numFmtId="0" fontId="17" fillId="0" borderId="3" xfId="9" applyFont="1" applyBorder="1" applyAlignment="1" applyProtection="1">
      <alignment horizontal="left" vertical="center"/>
      <protection locked="0"/>
    </xf>
    <xf numFmtId="0" fontId="17" fillId="0" borderId="4" xfId="9" applyFont="1" applyBorder="1" applyAlignment="1" applyProtection="1">
      <alignment horizontal="left" vertical="center"/>
      <protection locked="0"/>
    </xf>
    <xf numFmtId="0" fontId="17" fillId="0" borderId="5" xfId="9" applyFont="1" applyBorder="1" applyAlignment="1" applyProtection="1">
      <alignment horizontal="left" vertical="center"/>
      <protection locked="0"/>
    </xf>
    <xf numFmtId="193" fontId="19" fillId="3" borderId="10" xfId="0" applyNumberFormat="1" applyFont="1" applyFill="1" applyBorder="1" applyAlignment="1">
      <alignment horizontal="center" vertical="center" wrapText="1"/>
    </xf>
    <xf numFmtId="193" fontId="24" fillId="3" borderId="11" xfId="0" applyNumberFormat="1" applyFont="1" applyFill="1" applyBorder="1" applyAlignment="1">
      <alignment horizontal="center" vertical="center" wrapText="1"/>
    </xf>
    <xf numFmtId="0" fontId="11" fillId="10" borderId="0" xfId="12" applyFont="1" applyFill="1" applyAlignment="1">
      <alignment horizontal="center" vertical="center"/>
    </xf>
    <xf numFmtId="0" fontId="10" fillId="4" borderId="1" xfId="12" applyFont="1" applyFill="1" applyBorder="1" applyAlignment="1" applyProtection="1">
      <alignment horizontal="left" vertical="center"/>
      <protection locked="0"/>
    </xf>
    <xf numFmtId="14" fontId="10" fillId="4" borderId="1" xfId="12" applyNumberFormat="1" applyFont="1" applyFill="1" applyBorder="1" applyAlignment="1" applyProtection="1">
      <alignment horizontal="center" vertical="center"/>
      <protection locked="0"/>
    </xf>
    <xf numFmtId="0" fontId="18" fillId="4" borderId="3" xfId="12" applyFont="1" applyFill="1" applyBorder="1" applyAlignment="1" applyProtection="1">
      <alignment horizontal="left" vertical="center"/>
      <protection locked="0"/>
    </xf>
    <xf numFmtId="0" fontId="18" fillId="4" borderId="4" xfId="12" applyFont="1" applyFill="1" applyBorder="1" applyAlignment="1" applyProtection="1">
      <alignment horizontal="left" vertical="center"/>
      <protection locked="0"/>
    </xf>
    <xf numFmtId="0" fontId="18" fillId="4" borderId="5" xfId="12" applyFont="1" applyFill="1" applyBorder="1" applyAlignment="1" applyProtection="1">
      <alignment horizontal="left" vertical="center"/>
      <protection locked="0"/>
    </xf>
    <xf numFmtId="0" fontId="18" fillId="4" borderId="1" xfId="12" applyFont="1" applyFill="1" applyBorder="1" applyAlignment="1" applyProtection="1">
      <alignment horizontal="center" vertical="center" wrapText="1"/>
      <protection locked="0"/>
    </xf>
    <xf numFmtId="0" fontId="10" fillId="4" borderId="1" xfId="12" applyFont="1" applyFill="1" applyBorder="1" applyAlignment="1" applyProtection="1">
      <alignment horizontal="center" vertical="center"/>
      <protection locked="0"/>
    </xf>
    <xf numFmtId="0" fontId="17" fillId="4" borderId="1" xfId="12" applyFont="1" applyFill="1" applyBorder="1" applyAlignment="1">
      <alignment horizontal="left" vertical="center"/>
    </xf>
    <xf numFmtId="0" fontId="19" fillId="3" borderId="10" xfId="12" applyFont="1" applyFill="1" applyBorder="1" applyAlignment="1">
      <alignment horizontal="center" vertical="center" wrapText="1"/>
    </xf>
    <xf numFmtId="0" fontId="24" fillId="3" borderId="11" xfId="12" applyFont="1" applyFill="1" applyBorder="1" applyAlignment="1">
      <alignment horizontal="center" vertical="center" wrapText="1"/>
    </xf>
    <xf numFmtId="0" fontId="10" fillId="4" borderId="11" xfId="12" applyFont="1" applyFill="1" applyBorder="1" applyAlignment="1" applyProtection="1">
      <alignment horizontal="center" vertical="center"/>
      <protection locked="0"/>
    </xf>
    <xf numFmtId="176" fontId="19" fillId="3" borderId="10" xfId="15" applyNumberFormat="1" applyFont="1" applyFill="1" applyBorder="1" applyAlignment="1">
      <alignment horizontal="center" vertical="center" wrapText="1"/>
    </xf>
    <xf numFmtId="176" fontId="24" fillId="3" borderId="11" xfId="15" applyNumberFormat="1" applyFont="1" applyFill="1" applyBorder="1" applyAlignment="1">
      <alignment horizontal="center" vertical="center" wrapText="1"/>
    </xf>
    <xf numFmtId="0" fontId="11" fillId="10" borderId="0" xfId="15" applyFont="1" applyFill="1" applyAlignment="1">
      <alignment horizontal="center" vertical="center"/>
    </xf>
    <xf numFmtId="0" fontId="10" fillId="4" borderId="1" xfId="15" applyFill="1" applyBorder="1" applyAlignment="1" applyProtection="1">
      <alignment horizontal="left" vertical="center"/>
      <protection locked="0"/>
    </xf>
    <xf numFmtId="14" fontId="10" fillId="4" borderId="1" xfId="15" applyNumberFormat="1" applyFill="1" applyBorder="1" applyAlignment="1" applyProtection="1">
      <alignment horizontal="center" vertical="center"/>
      <protection locked="0"/>
    </xf>
    <xf numFmtId="0" fontId="18" fillId="4" borderId="1" xfId="15" applyFont="1" applyFill="1" applyBorder="1" applyAlignment="1" applyProtection="1">
      <alignment horizontal="center" vertical="center" wrapText="1"/>
      <protection locked="0"/>
    </xf>
    <xf numFmtId="0" fontId="10" fillId="4" borderId="11" xfId="15" applyFill="1" applyBorder="1" applyAlignment="1" applyProtection="1">
      <alignment horizontal="center" vertical="center"/>
      <protection locked="0"/>
    </xf>
    <xf numFmtId="0" fontId="10" fillId="12" borderId="1" xfId="15" applyFill="1" applyBorder="1" applyAlignment="1" applyProtection="1">
      <alignment horizontal="center" vertical="center"/>
      <protection locked="0"/>
    </xf>
    <xf numFmtId="0" fontId="47" fillId="4" borderId="3" xfId="15" applyFont="1" applyFill="1" applyBorder="1" applyAlignment="1" applyProtection="1">
      <alignment horizontal="left" vertical="center"/>
      <protection locked="0"/>
    </xf>
    <xf numFmtId="0" fontId="47" fillId="4" borderId="4" xfId="15" applyFont="1" applyFill="1" applyBorder="1" applyAlignment="1" applyProtection="1">
      <alignment horizontal="left" vertical="center"/>
      <protection locked="0"/>
    </xf>
    <xf numFmtId="0" fontId="47" fillId="4" borderId="5" xfId="15" applyFont="1" applyFill="1" applyBorder="1" applyAlignment="1" applyProtection="1">
      <alignment horizontal="left" vertical="center"/>
      <protection locked="0"/>
    </xf>
    <xf numFmtId="0" fontId="17" fillId="4" borderId="1" xfId="15" applyFont="1" applyFill="1" applyBorder="1" applyAlignment="1">
      <alignment horizontal="left" vertical="center"/>
    </xf>
    <xf numFmtId="49" fontId="32" fillId="5" borderId="0" xfId="17" applyNumberFormat="1" applyFont="1" applyFill="1" applyAlignment="1">
      <alignment horizontal="center" vertical="center" wrapText="1"/>
    </xf>
    <xf numFmtId="179" fontId="19" fillId="13" borderId="10" xfId="2" applyNumberFormat="1" applyFont="1" applyFill="1" applyBorder="1" applyAlignment="1" applyProtection="1">
      <alignment horizontal="center" vertical="center"/>
      <protection locked="0"/>
    </xf>
    <xf numFmtId="179" fontId="19" fillId="13" borderId="11" xfId="2" applyNumberFormat="1" applyFont="1" applyFill="1" applyBorder="1" applyAlignment="1" applyProtection="1">
      <alignment horizontal="center" vertical="center"/>
      <protection locked="0"/>
    </xf>
    <xf numFmtId="0" fontId="11" fillId="10" borderId="15" xfId="0" applyFont="1" applyFill="1" applyBorder="1" applyAlignment="1">
      <alignment horizontal="center" vertical="center"/>
    </xf>
    <xf numFmtId="0" fontId="10" fillId="4" borderId="3" xfId="0" applyFont="1" applyFill="1" applyBorder="1" applyAlignment="1" applyProtection="1">
      <alignment horizontal="left" vertical="center"/>
      <protection locked="0"/>
    </xf>
    <xf numFmtId="0" fontId="10" fillId="4" borderId="4" xfId="0" applyFont="1" applyFill="1" applyBorder="1" applyAlignment="1" applyProtection="1">
      <alignment horizontal="left" vertical="center"/>
      <protection locked="0"/>
    </xf>
    <xf numFmtId="0" fontId="10" fillId="4" borderId="5" xfId="0" applyFont="1" applyFill="1" applyBorder="1" applyAlignment="1" applyProtection="1">
      <alignment horizontal="left" vertical="center"/>
      <protection locked="0"/>
    </xf>
    <xf numFmtId="14" fontId="10" fillId="4" borderId="3" xfId="0" applyNumberFormat="1" applyFont="1" applyFill="1" applyBorder="1" applyAlignment="1" applyProtection="1">
      <alignment horizontal="center" vertical="center"/>
      <protection locked="0"/>
    </xf>
    <xf numFmtId="14" fontId="10" fillId="4" borderId="5" xfId="0" applyNumberFormat="1" applyFont="1" applyFill="1" applyBorder="1" applyAlignment="1" applyProtection="1">
      <alignment horizontal="center" vertical="center"/>
      <protection locked="0"/>
    </xf>
    <xf numFmtId="0" fontId="10" fillId="4" borderId="10" xfId="0" applyFont="1" applyFill="1" applyBorder="1" applyAlignment="1" applyProtection="1">
      <alignment horizontal="center" vertical="center"/>
      <protection locked="0"/>
    </xf>
    <xf numFmtId="0" fontId="10" fillId="4" borderId="6" xfId="0" applyFont="1" applyFill="1" applyBorder="1" applyAlignment="1" applyProtection="1">
      <alignment horizontal="left" vertical="center"/>
      <protection locked="0"/>
    </xf>
    <xf numFmtId="0" fontId="10" fillId="4" borderId="15" xfId="0" applyFont="1" applyFill="1" applyBorder="1" applyAlignment="1" applyProtection="1">
      <alignment horizontal="left" vertical="center"/>
      <protection locked="0"/>
    </xf>
    <xf numFmtId="0" fontId="10" fillId="4" borderId="7" xfId="0" applyFont="1" applyFill="1" applyBorder="1" applyAlignment="1" applyProtection="1">
      <alignment horizontal="left" vertical="center"/>
      <protection locked="0"/>
    </xf>
    <xf numFmtId="0" fontId="10" fillId="4" borderId="13" xfId="0" applyFont="1" applyFill="1" applyBorder="1" applyAlignment="1" applyProtection="1">
      <alignment horizontal="left" vertical="center"/>
      <protection locked="0"/>
    </xf>
    <xf numFmtId="0" fontId="10" fillId="4" borderId="2" xfId="0" applyFont="1" applyFill="1" applyBorder="1" applyAlignment="1" applyProtection="1">
      <alignment horizontal="left" vertical="center"/>
      <protection locked="0"/>
    </xf>
    <xf numFmtId="0" fontId="10" fillId="4" borderId="14" xfId="0" applyFont="1" applyFill="1" applyBorder="1" applyAlignment="1" applyProtection="1">
      <alignment horizontal="left" vertical="center"/>
      <protection locked="0"/>
    </xf>
    <xf numFmtId="0" fontId="19" fillId="3" borderId="1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19" fillId="4" borderId="3" xfId="0" applyFont="1" applyFill="1" applyBorder="1" applyAlignment="1" applyProtection="1">
      <alignment horizontal="left" vertical="center"/>
      <protection locked="0"/>
    </xf>
    <xf numFmtId="0" fontId="19" fillId="4" borderId="4" xfId="0" applyFont="1" applyFill="1" applyBorder="1" applyAlignment="1" applyProtection="1">
      <alignment horizontal="left" vertical="center"/>
      <protection locked="0"/>
    </xf>
    <xf numFmtId="0" fontId="19" fillId="4" borderId="5" xfId="0" applyFont="1" applyFill="1" applyBorder="1" applyAlignment="1" applyProtection="1">
      <alignment horizontal="left" vertical="center"/>
      <protection locked="0"/>
    </xf>
    <xf numFmtId="0" fontId="10" fillId="0" borderId="3" xfId="2" applyBorder="1" applyAlignment="1" applyProtection="1">
      <alignment horizontal="left" vertical="center"/>
      <protection locked="0"/>
    </xf>
    <xf numFmtId="0" fontId="10" fillId="0" borderId="4" xfId="2" applyBorder="1" applyAlignment="1" applyProtection="1">
      <alignment horizontal="left" vertical="center"/>
      <protection locked="0"/>
    </xf>
    <xf numFmtId="0" fontId="10" fillId="0" borderId="5" xfId="2" applyBorder="1" applyAlignment="1" applyProtection="1">
      <alignment horizontal="left" vertical="center"/>
      <protection locked="0"/>
    </xf>
    <xf numFmtId="0" fontId="17" fillId="4" borderId="1" xfId="2" applyFont="1" applyFill="1" applyBorder="1" applyAlignment="1" applyProtection="1">
      <alignment horizontal="left" vertical="center" wrapText="1" shrinkToFit="1"/>
      <protection locked="0"/>
    </xf>
    <xf numFmtId="0" fontId="18" fillId="4" borderId="1" xfId="2" applyFont="1" applyFill="1" applyBorder="1" applyAlignment="1" applyProtection="1">
      <alignment horizontal="center" vertical="center" wrapText="1" shrinkToFit="1"/>
      <protection locked="0"/>
    </xf>
    <xf numFmtId="0" fontId="17" fillId="4" borderId="1" xfId="2" applyFont="1" applyFill="1" applyBorder="1" applyAlignment="1" applyProtection="1">
      <alignment horizontal="left" vertical="center"/>
      <protection locked="0"/>
    </xf>
    <xf numFmtId="0" fontId="20" fillId="7" borderId="6" xfId="35" applyFont="1" applyFill="1" applyBorder="1" applyAlignment="1" applyProtection="1">
      <alignment horizontal="center" vertical="center"/>
      <protection locked="0"/>
    </xf>
    <xf numFmtId="0" fontId="20" fillId="7" borderId="7" xfId="35" applyFont="1" applyFill="1" applyBorder="1" applyAlignment="1" applyProtection="1">
      <alignment horizontal="center" vertical="center"/>
      <protection locked="0"/>
    </xf>
    <xf numFmtId="0" fontId="20" fillId="7" borderId="8" xfId="35" applyFont="1" applyFill="1" applyBorder="1" applyAlignment="1" applyProtection="1">
      <alignment horizontal="center" vertical="center"/>
      <protection locked="0"/>
    </xf>
    <xf numFmtId="0" fontId="20" fillId="7" borderId="9" xfId="35" applyFont="1" applyFill="1" applyBorder="1" applyAlignment="1" applyProtection="1">
      <alignment horizontal="center" vertical="center"/>
      <protection locked="0"/>
    </xf>
    <xf numFmtId="0" fontId="20" fillId="7" borderId="13" xfId="35" applyFont="1" applyFill="1" applyBorder="1" applyAlignment="1" applyProtection="1">
      <alignment horizontal="center" vertical="center"/>
      <protection locked="0"/>
    </xf>
    <xf numFmtId="0" fontId="20" fillId="7" borderId="14" xfId="35" applyFont="1" applyFill="1" applyBorder="1" applyAlignment="1" applyProtection="1">
      <alignment horizontal="center" vertical="center"/>
      <protection locked="0"/>
    </xf>
    <xf numFmtId="179" fontId="19" fillId="13" borderId="1" xfId="35" applyNumberFormat="1" applyFont="1" applyFill="1" applyBorder="1" applyAlignment="1" applyProtection="1">
      <alignment horizontal="center" vertical="center"/>
      <protection locked="0"/>
    </xf>
    <xf numFmtId="0" fontId="17" fillId="0" borderId="3" xfId="35" applyFont="1" applyBorder="1" applyAlignment="1" applyProtection="1">
      <alignment horizontal="left" vertical="center"/>
      <protection locked="0"/>
    </xf>
    <xf numFmtId="0" fontId="17" fillId="0" borderId="4" xfId="35" applyFont="1" applyBorder="1" applyAlignment="1" applyProtection="1">
      <alignment horizontal="left" vertical="center"/>
      <protection locked="0"/>
    </xf>
    <xf numFmtId="0" fontId="17" fillId="0" borderId="5" xfId="35" applyFont="1" applyBorder="1" applyAlignment="1" applyProtection="1">
      <alignment horizontal="left" vertical="center"/>
      <protection locked="0"/>
    </xf>
    <xf numFmtId="0" fontId="31" fillId="0" borderId="3" xfId="35" applyFont="1" applyBorder="1" applyAlignment="1" applyProtection="1">
      <alignment horizontal="left" vertical="center"/>
      <protection locked="0"/>
    </xf>
    <xf numFmtId="0" fontId="17" fillId="4" borderId="3" xfId="2" applyFont="1" applyFill="1" applyBorder="1" applyAlignment="1" applyProtection="1">
      <alignment horizontal="left" vertical="center"/>
      <protection locked="0"/>
    </xf>
    <xf numFmtId="0" fontId="17" fillId="4" borderId="4" xfId="2" applyFont="1" applyFill="1" applyBorder="1" applyAlignment="1" applyProtection="1">
      <alignment horizontal="left" vertical="center"/>
      <protection locked="0"/>
    </xf>
    <xf numFmtId="0" fontId="17" fillId="4" borderId="5" xfId="2" applyFont="1" applyFill="1" applyBorder="1" applyAlignment="1" applyProtection="1">
      <alignment horizontal="left" vertical="center"/>
      <protection locked="0"/>
    </xf>
    <xf numFmtId="179" fontId="19" fillId="3" borderId="1" xfId="35" applyNumberFormat="1" applyFont="1" applyFill="1" applyBorder="1" applyAlignment="1" applyProtection="1">
      <alignment horizontal="center" vertical="center"/>
      <protection locked="0"/>
    </xf>
    <xf numFmtId="188" fontId="20" fillId="7" borderId="6" xfId="35" applyNumberFormat="1" applyFont="1" applyFill="1" applyBorder="1" applyAlignment="1" applyProtection="1">
      <alignment horizontal="center" vertical="center"/>
      <protection locked="0"/>
    </xf>
    <xf numFmtId="188" fontId="20" fillId="7" borderId="7" xfId="35" applyNumberFormat="1" applyFont="1" applyFill="1" applyBorder="1" applyAlignment="1" applyProtection="1">
      <alignment horizontal="center" vertical="center"/>
      <protection locked="0"/>
    </xf>
    <xf numFmtId="188" fontId="20" fillId="7" borderId="8" xfId="35" applyNumberFormat="1" applyFont="1" applyFill="1" applyBorder="1" applyAlignment="1" applyProtection="1">
      <alignment horizontal="center" vertical="center"/>
      <protection locked="0"/>
    </xf>
    <xf numFmtId="188" fontId="20" fillId="7" borderId="9" xfId="35" applyNumberFormat="1" applyFont="1" applyFill="1" applyBorder="1" applyAlignment="1" applyProtection="1">
      <alignment horizontal="center" vertical="center"/>
      <protection locked="0"/>
    </xf>
    <xf numFmtId="188" fontId="20" fillId="7" borderId="13" xfId="35" applyNumberFormat="1" applyFont="1" applyFill="1" applyBorder="1" applyAlignment="1" applyProtection="1">
      <alignment horizontal="center" vertical="center"/>
      <protection locked="0"/>
    </xf>
    <xf numFmtId="188" fontId="20" fillId="7" borderId="14" xfId="35" applyNumberFormat="1" applyFont="1" applyFill="1" applyBorder="1" applyAlignment="1" applyProtection="1">
      <alignment horizontal="center" vertical="center"/>
      <protection locked="0"/>
    </xf>
    <xf numFmtId="188" fontId="19" fillId="3" borderId="10" xfId="29" applyNumberFormat="1" applyFont="1" applyFill="1" applyBorder="1" applyAlignment="1">
      <alignment horizontal="center" vertical="center" wrapText="1"/>
    </xf>
    <xf numFmtId="188" fontId="10" fillId="4" borderId="11" xfId="29" applyNumberFormat="1" applyFont="1" applyFill="1" applyBorder="1" applyAlignment="1" applyProtection="1">
      <alignment horizontal="center" vertical="center"/>
      <protection locked="0"/>
    </xf>
    <xf numFmtId="188" fontId="17" fillId="0" borderId="3" xfId="35" applyNumberFormat="1" applyFont="1" applyBorder="1" applyAlignment="1" applyProtection="1">
      <alignment horizontal="left" vertical="center"/>
      <protection locked="0"/>
    </xf>
    <xf numFmtId="188" fontId="17" fillId="0" borderId="4" xfId="35" applyNumberFormat="1" applyFont="1" applyBorder="1" applyAlignment="1" applyProtection="1">
      <alignment horizontal="left" vertical="center"/>
      <protection locked="0"/>
    </xf>
    <xf numFmtId="188" fontId="17" fillId="0" borderId="5" xfId="35" applyNumberFormat="1" applyFont="1" applyBorder="1" applyAlignment="1" applyProtection="1">
      <alignment horizontal="left" vertical="center"/>
      <protection locked="0"/>
    </xf>
    <xf numFmtId="188" fontId="11" fillId="10" borderId="0" xfId="29" applyNumberFormat="1" applyFont="1" applyFill="1" applyAlignment="1">
      <alignment horizontal="center" vertical="center"/>
    </xf>
    <xf numFmtId="188" fontId="18" fillId="4" borderId="3" xfId="29" applyNumberFormat="1" applyFont="1" applyFill="1" applyBorder="1" applyAlignment="1" applyProtection="1">
      <alignment horizontal="left" vertical="center"/>
      <protection locked="0"/>
    </xf>
    <xf numFmtId="188" fontId="18" fillId="4" borderId="4" xfId="29" applyNumberFormat="1" applyFont="1" applyFill="1" applyBorder="1" applyAlignment="1" applyProtection="1">
      <alignment horizontal="left" vertical="center"/>
      <protection locked="0"/>
    </xf>
    <xf numFmtId="188" fontId="18" fillId="4" borderId="5" xfId="29" applyNumberFormat="1" applyFont="1" applyFill="1" applyBorder="1" applyAlignment="1" applyProtection="1">
      <alignment horizontal="left" vertical="center"/>
      <protection locked="0"/>
    </xf>
    <xf numFmtId="188" fontId="17" fillId="4" borderId="3" xfId="29" applyNumberFormat="1" applyFont="1" applyFill="1" applyBorder="1" applyAlignment="1">
      <alignment horizontal="left" vertical="center"/>
    </xf>
    <xf numFmtId="188" fontId="17" fillId="4" borderId="4" xfId="29" applyNumberFormat="1" applyFont="1" applyFill="1" applyBorder="1" applyAlignment="1">
      <alignment horizontal="left" vertical="center"/>
    </xf>
    <xf numFmtId="188" fontId="17" fillId="4" borderId="5" xfId="29" applyNumberFormat="1" applyFont="1" applyFill="1" applyBorder="1" applyAlignment="1">
      <alignment horizontal="left" vertical="center"/>
    </xf>
    <xf numFmtId="188" fontId="19" fillId="13" borderId="10" xfId="35" applyNumberFormat="1" applyFont="1" applyFill="1" applyBorder="1" applyAlignment="1" applyProtection="1">
      <alignment horizontal="center" vertical="center"/>
      <protection locked="0"/>
    </xf>
    <xf numFmtId="188" fontId="19" fillId="13" borderId="11" xfId="35" applyNumberFormat="1" applyFont="1" applyFill="1" applyBorder="1" applyAlignment="1" applyProtection="1">
      <alignment horizontal="center" vertical="center"/>
      <protection locked="0"/>
    </xf>
    <xf numFmtId="188" fontId="19" fillId="3" borderId="11" xfId="29" applyNumberFormat="1" applyFont="1" applyFill="1" applyBorder="1" applyAlignment="1">
      <alignment horizontal="center" vertical="center" wrapText="1"/>
    </xf>
    <xf numFmtId="188" fontId="10" fillId="4" borderId="3" xfId="29" applyNumberFormat="1" applyFont="1" applyFill="1" applyBorder="1" applyAlignment="1" applyProtection="1">
      <alignment horizontal="center" vertical="center"/>
      <protection locked="0"/>
    </xf>
    <xf numFmtId="188" fontId="10" fillId="4" borderId="5" xfId="29" applyNumberFormat="1" applyFont="1" applyFill="1" applyBorder="1" applyAlignment="1" applyProtection="1">
      <alignment horizontal="center" vertical="center"/>
      <protection locked="0"/>
    </xf>
    <xf numFmtId="188" fontId="18" fillId="4" borderId="3" xfId="29" applyNumberFormat="1" applyFont="1" applyFill="1" applyBorder="1" applyAlignment="1" applyProtection="1">
      <alignment horizontal="center" vertical="center" wrapText="1"/>
      <protection locked="0"/>
    </xf>
    <xf numFmtId="188" fontId="18" fillId="4" borderId="5" xfId="29" applyNumberFormat="1" applyFont="1" applyFill="1" applyBorder="1" applyAlignment="1" applyProtection="1">
      <alignment horizontal="center" vertical="center" wrapText="1"/>
      <protection locked="0"/>
    </xf>
    <xf numFmtId="188" fontId="10" fillId="4" borderId="10" xfId="29" applyNumberFormat="1" applyFont="1" applyFill="1" applyBorder="1" applyAlignment="1" applyProtection="1">
      <alignment horizontal="center" vertical="center"/>
      <protection locked="0"/>
    </xf>
    <xf numFmtId="188" fontId="10" fillId="4" borderId="6" xfId="29" applyNumberFormat="1" applyFont="1" applyFill="1" applyBorder="1" applyAlignment="1" applyProtection="1">
      <alignment horizontal="left" vertical="center"/>
      <protection locked="0"/>
    </xf>
    <xf numFmtId="188" fontId="10" fillId="4" borderId="15" xfId="29" applyNumberFormat="1" applyFont="1" applyFill="1" applyBorder="1" applyAlignment="1" applyProtection="1">
      <alignment horizontal="left" vertical="center"/>
      <protection locked="0"/>
    </xf>
    <xf numFmtId="188" fontId="10" fillId="4" borderId="7" xfId="29" applyNumberFormat="1" applyFont="1" applyFill="1" applyBorder="1" applyAlignment="1" applyProtection="1">
      <alignment horizontal="left" vertical="center"/>
      <protection locked="0"/>
    </xf>
    <xf numFmtId="188" fontId="10" fillId="4" borderId="13" xfId="29" applyNumberFormat="1" applyFont="1" applyFill="1" applyBorder="1" applyAlignment="1" applyProtection="1">
      <alignment horizontal="left" vertical="center"/>
      <protection locked="0"/>
    </xf>
    <xf numFmtId="188" fontId="10" fillId="4" borderId="2" xfId="29" applyNumberFormat="1" applyFont="1" applyFill="1" applyBorder="1" applyAlignment="1" applyProtection="1">
      <alignment horizontal="left" vertical="center"/>
      <protection locked="0"/>
    </xf>
    <xf numFmtId="188" fontId="10" fillId="4" borderId="14" xfId="29" applyNumberFormat="1" applyFont="1" applyFill="1" applyBorder="1" applyAlignment="1" applyProtection="1">
      <alignment horizontal="left" vertical="center"/>
      <protection locked="0"/>
    </xf>
    <xf numFmtId="0" fontId="55" fillId="0" borderId="3" xfId="2" applyFont="1" applyBorder="1" applyAlignment="1" applyProtection="1">
      <alignment horizontal="left" vertical="center"/>
      <protection locked="0"/>
    </xf>
    <xf numFmtId="0" fontId="55" fillId="0" borderId="4" xfId="2" applyFont="1" applyBorder="1" applyAlignment="1" applyProtection="1">
      <alignment horizontal="left" vertical="center"/>
      <protection locked="0"/>
    </xf>
    <xf numFmtId="0" fontId="55" fillId="0" borderId="5" xfId="2" applyFont="1" applyBorder="1" applyAlignment="1" applyProtection="1">
      <alignment horizontal="left" vertical="center"/>
      <protection locked="0"/>
    </xf>
    <xf numFmtId="0" fontId="17" fillId="4" borderId="1" xfId="16" applyFont="1" applyFill="1" applyBorder="1" applyAlignment="1">
      <alignment horizontal="left" vertical="center"/>
    </xf>
    <xf numFmtId="0" fontId="19" fillId="3" borderId="10" xfId="16" applyFont="1" applyFill="1" applyBorder="1" applyAlignment="1">
      <alignment horizontal="center" vertical="center" wrapText="1"/>
    </xf>
    <xf numFmtId="0" fontId="24" fillId="3" borderId="11" xfId="16" applyFont="1" applyFill="1" applyBorder="1" applyAlignment="1">
      <alignment horizontal="center" vertical="center" wrapText="1"/>
    </xf>
    <xf numFmtId="0" fontId="10" fillId="4" borderId="1" xfId="16" applyFont="1" applyFill="1" applyBorder="1" applyAlignment="1" applyProtection="1">
      <alignment horizontal="left" vertical="center"/>
      <protection locked="0"/>
    </xf>
    <xf numFmtId="14" fontId="10" fillId="4" borderId="1" xfId="16" applyNumberFormat="1" applyFont="1" applyFill="1" applyBorder="1" applyAlignment="1" applyProtection="1">
      <alignment horizontal="center" vertical="center"/>
      <protection locked="0"/>
    </xf>
    <xf numFmtId="0" fontId="18" fillId="4" borderId="3" xfId="16" applyFont="1" applyFill="1" applyBorder="1" applyAlignment="1" applyProtection="1">
      <alignment horizontal="left" vertical="center"/>
      <protection locked="0"/>
    </xf>
    <xf numFmtId="0" fontId="18" fillId="4" borderId="4" xfId="16" applyFont="1" applyFill="1" applyBorder="1" applyAlignment="1" applyProtection="1">
      <alignment horizontal="left" vertical="center"/>
      <protection locked="0"/>
    </xf>
    <xf numFmtId="0" fontId="18" fillId="4" borderId="5" xfId="16" applyFont="1" applyFill="1" applyBorder="1" applyAlignment="1" applyProtection="1">
      <alignment horizontal="left" vertical="center"/>
      <protection locked="0"/>
    </xf>
    <xf numFmtId="0" fontId="18" fillId="4" borderId="1" xfId="16" applyFont="1" applyFill="1" applyBorder="1" applyAlignment="1" applyProtection="1">
      <alignment horizontal="center" vertical="center" wrapText="1"/>
      <protection locked="0"/>
    </xf>
    <xf numFmtId="0" fontId="10" fillId="4" borderId="1" xfId="16" applyFont="1" applyFill="1" applyBorder="1" applyAlignment="1" applyProtection="1">
      <alignment horizontal="center" vertical="center"/>
      <protection locked="0"/>
    </xf>
    <xf numFmtId="0" fontId="10" fillId="4" borderId="11" xfId="16" applyFont="1" applyFill="1" applyBorder="1" applyAlignment="1" applyProtection="1">
      <alignment horizontal="center" vertical="center"/>
      <protection locked="0"/>
    </xf>
    <xf numFmtId="0" fontId="11" fillId="10" borderId="0" xfId="16" applyFont="1" applyFill="1" applyAlignment="1">
      <alignment horizontal="center" vertical="center"/>
    </xf>
    <xf numFmtId="193" fontId="19" fillId="3" borderId="10" xfId="3" applyNumberFormat="1" applyFont="1" applyFill="1" applyBorder="1" applyAlignment="1">
      <alignment horizontal="center" vertical="center" wrapText="1"/>
    </xf>
    <xf numFmtId="193" fontId="24" fillId="3" borderId="11" xfId="3" applyNumberFormat="1" applyFont="1" applyFill="1" applyBorder="1" applyAlignment="1">
      <alignment horizontal="center" vertical="center" wrapText="1"/>
    </xf>
    <xf numFmtId="0" fontId="19" fillId="4" borderId="3" xfId="0" applyFont="1" applyFill="1" applyBorder="1" applyAlignment="1" applyProtection="1">
      <alignment horizontal="center" vertical="center" wrapText="1"/>
      <protection locked="0"/>
    </xf>
    <xf numFmtId="0" fontId="19" fillId="4" borderId="5" xfId="0" applyFont="1" applyFill="1" applyBorder="1" applyAlignment="1" applyProtection="1">
      <alignment horizontal="center" vertical="center" wrapText="1"/>
      <protection locked="0"/>
    </xf>
    <xf numFmtId="189" fontId="10" fillId="4" borderId="3" xfId="29" applyNumberFormat="1" applyFont="1" applyFill="1" applyBorder="1" applyAlignment="1" applyProtection="1">
      <alignment horizontal="left" vertical="center"/>
      <protection locked="0"/>
    </xf>
    <xf numFmtId="189" fontId="10" fillId="4" borderId="4" xfId="29" applyNumberFormat="1" applyFont="1" applyFill="1" applyBorder="1" applyAlignment="1" applyProtection="1">
      <alignment horizontal="left" vertical="center"/>
      <protection locked="0"/>
    </xf>
    <xf numFmtId="189" fontId="10" fillId="4" borderId="5" xfId="29" applyNumberFormat="1" applyFont="1" applyFill="1" applyBorder="1" applyAlignment="1" applyProtection="1">
      <alignment horizontal="left" vertical="center"/>
      <protection locked="0"/>
    </xf>
  </cellXfs>
  <cellStyles count="39">
    <cellStyle name="AutoFormat-Optionen" xfId="38" xr:uid="{43EFCC65-4815-4712-ACD6-7CAE9F21EF9C}"/>
    <cellStyle name="百分比" xfId="1" builtinId="5"/>
    <cellStyle name="百分比 2" xfId="4" xr:uid="{164ECBC5-4530-495F-AD77-BE7CE5BEFB71}"/>
    <cellStyle name="百分比 2 2" xfId="7" xr:uid="{8E27ADAE-C6A5-4F2C-A46A-2B301AE7A2E5}"/>
    <cellStyle name="百分比 2 3" xfId="13" xr:uid="{D5472510-2598-499E-AC4C-C24A6694A032}"/>
    <cellStyle name="百分比 2 4" xfId="32" xr:uid="{F9F00E3C-A238-42C2-8344-23834D7F0FB1}"/>
    <cellStyle name="百分比 3" xfId="18" xr:uid="{B274E24F-4D4D-4E2D-A2BF-57994891AE7E}"/>
    <cellStyle name="百分比 4" xfId="11" xr:uid="{2B28DBAF-92D3-4BF5-96D9-C4C2894B1758}"/>
    <cellStyle name="常规" xfId="0" builtinId="0"/>
    <cellStyle name="常规 10" xfId="27" xr:uid="{CE5C0166-4CBD-4037-8431-6C045E8F72B4}"/>
    <cellStyle name="常规 2" xfId="3" xr:uid="{2AE5470E-6BDD-4CDA-BCAD-89EDE3D40A3B}"/>
    <cellStyle name="常规 2 2" xfId="6" xr:uid="{4F0AC084-3559-4A45-8072-346522F9EC63}"/>
    <cellStyle name="常规 2 2 2" xfId="14" xr:uid="{21A1BB01-777D-4E1F-96D4-FD9236AEF6C6}"/>
    <cellStyle name="常规 2 2 3 9 2" xfId="25" xr:uid="{E297A924-A340-4E4C-9AFD-322FD6E0D95F}"/>
    <cellStyle name="常规 2 2 5" xfId="26" xr:uid="{342F0D94-CD56-43F0-8606-968B6F67912E}"/>
    <cellStyle name="常规 2 3" xfId="12" xr:uid="{E188FA32-3390-4812-B939-69D089E25071}"/>
    <cellStyle name="常规 2 4" xfId="29" xr:uid="{51FBD001-3700-40A0-A1F1-0EAF106DBFD2}"/>
    <cellStyle name="常规 29" xfId="24" xr:uid="{B5EC1303-A6FB-41FD-91CA-4356CDCE554C}"/>
    <cellStyle name="常规 3" xfId="16" xr:uid="{A17B2BBF-2192-4B74-8856-F10F767D0D00}"/>
    <cellStyle name="常规 4" xfId="17" xr:uid="{FC765388-7A96-4314-AB77-518A11C4E1D1}"/>
    <cellStyle name="常规 4 2" xfId="15" xr:uid="{91A47B9F-C728-4210-91AD-E2E9121AA150}"/>
    <cellStyle name="常规 4 2 2" xfId="19" xr:uid="{2F30DDE9-5A15-4B57-BC28-E61755145612}"/>
    <cellStyle name="常规 5" xfId="8" xr:uid="{05E65C78-FB5C-4B5B-92A1-EC493859AF6E}"/>
    <cellStyle name="常规 6" xfId="20" xr:uid="{AD654D29-9D97-4D8D-A25B-1C3B85F62B83}"/>
    <cellStyle name="常规 6 2" xfId="30" xr:uid="{E67DE544-3425-46F9-BFBD-D537460C07F0}"/>
    <cellStyle name="常规 6 2 2" xfId="33" xr:uid="{8F5222AD-66B0-451F-94C3-ABD3ED0CC87C}"/>
    <cellStyle name="常规 7" xfId="28" xr:uid="{4D2C52F7-E07E-4E4D-BA60-17D5973AA4BC}"/>
    <cellStyle name="常规 8" xfId="31" xr:uid="{A4E9F08A-948F-4008-B0B9-500A997804EE}"/>
    <cellStyle name="常规 9" xfId="37" xr:uid="{BE3B6188-0B6F-47BB-BAEE-7E54EB2733F4}"/>
    <cellStyle name="常规_阿富特报价单（为准）" xfId="21" xr:uid="{9AC50E8A-593A-4FC0-B53A-DB801DD2DE18}"/>
    <cellStyle name="常规_报价单" xfId="23" xr:uid="{83890839-BED6-4E69-99E5-CD491FD1D8AB}"/>
    <cellStyle name="样式 1" xfId="22" xr:uid="{38850C84-A352-4E75-B693-A0951433D84E}"/>
    <cellStyle name="一般_HPCEN14P" xfId="2" xr:uid="{F65411DF-7D3E-43AD-BF02-B49EB6D52143}"/>
    <cellStyle name="一般_HPCEN14P 2 2" xfId="35" xr:uid="{69742AEE-93AC-40EB-9DC6-30C68D765C56}"/>
    <cellStyle name="一般_HPCEN14P 3" xfId="9" xr:uid="{74CEF806-4801-404A-A741-0E2DD285F984}"/>
    <cellStyle name="一般_HPCEN14P 4" xfId="34" xr:uid="{7E0997BD-652C-400A-A12A-696F55D9F9A6}"/>
    <cellStyle name="一般_HPCEN14P_(004)57YZW" xfId="5" xr:uid="{29700D01-4CFE-452D-9C3A-2B1B8986DC9B}"/>
    <cellStyle name="一般_HPCEN14P_(004)57YZW 2" xfId="36" xr:uid="{0808DBDF-0122-4832-8E01-9EECE6679F85}"/>
    <cellStyle name="一般_HPCEN14P_(004)57YZW 3" xfId="10" xr:uid="{CE9F9878-F25A-41C0-92C5-C2FE8D2D30EE}"/>
  </cellStyles>
  <dxfs count="9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9" defaultPivotStyle="PivotStyleLight16"/>
  <colors>
    <mruColors>
      <color rgb="FF0AE62F"/>
      <color rgb="FFFF0000"/>
      <color rgb="FFFF0066"/>
      <color rgb="FF66FF99"/>
      <color rgb="FFC6E0B4"/>
      <color rgb="FF05EB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285750</xdr:colOff>
      <xdr:row>3</xdr:row>
      <xdr:rowOff>390525</xdr:rowOff>
    </xdr:from>
    <xdr:to>
      <xdr:col>21</xdr:col>
      <xdr:colOff>57150</xdr:colOff>
      <xdr:row>6</xdr:row>
      <xdr:rowOff>114300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1219200"/>
          <a:ext cx="66294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0</xdr:rowOff>
    </xdr:from>
    <xdr:to>
      <xdr:col>13</xdr:col>
      <xdr:colOff>255869</xdr:colOff>
      <xdr:row>25</xdr:row>
      <xdr:rowOff>9438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581650"/>
          <a:ext cx="10447619" cy="695238"/>
        </a:xfrm>
        <a:prstGeom prst="rect">
          <a:avLst/>
        </a:prstGeom>
      </xdr:spPr>
    </xdr:pic>
    <xdr:clientData/>
  </xdr:twoCellAnchor>
  <xdr:twoCellAnchor editAs="oneCell">
    <xdr:from>
      <xdr:col>9</xdr:col>
      <xdr:colOff>104775</xdr:colOff>
      <xdr:row>11</xdr:row>
      <xdr:rowOff>57150</xdr:rowOff>
    </xdr:from>
    <xdr:to>
      <xdr:col>13</xdr:col>
      <xdr:colOff>238125</xdr:colOff>
      <xdr:row>13</xdr:row>
      <xdr:rowOff>95250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A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3325" y="3190875"/>
          <a:ext cx="28765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638175</xdr:colOff>
      <xdr:row>1</xdr:row>
      <xdr:rowOff>171450</xdr:rowOff>
    </xdr:from>
    <xdr:to>
      <xdr:col>21</xdr:col>
      <xdr:colOff>675468</xdr:colOff>
      <xdr:row>15</xdr:row>
      <xdr:rowOff>56725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8150" y="495300"/>
          <a:ext cx="6457143" cy="3152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190500</xdr:colOff>
      <xdr:row>51</xdr:row>
      <xdr:rowOff>114300</xdr:rowOff>
    </xdr:from>
    <xdr:to>
      <xdr:col>29</xdr:col>
      <xdr:colOff>332217</xdr:colOff>
      <xdr:row>52</xdr:row>
      <xdr:rowOff>295148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0" y="5657850"/>
          <a:ext cx="9266667" cy="10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4\&#23041;&#28023;&#32447;&#32518;&#20107;&#19994;&#37096;\&#30005;&#32447;&#33829;&#19994;&#37096;\&#25104;&#26412;&#20998;&#26512;\&#26032;&#26684;&#24335;&#25104;&#26412;&#20998;&#26512;&#65288;&#20026;&#20934;&#65289;\&#20805;&#30005;&#26538;&#65288;&#27431;&#26631;&#35748;&#35777;CB-CE-TUV-&#32654;&#26631;&#35748;&#35777;&#21462;&#24471;&#20013;&#65289;\&#27494;&#27721;&#24503;&#27888;&#32435;&#26032;&#33021;&#28304;&#65288;&#39640;&#21387;&#32447;--&#23380;&#32321;&#25919;&#65289;\&#25253;&#20215;&#21333;&#65288;&#19978;&#26376;&#22343;&#20215;&#65289;.xls" TargetMode="External"/><Relationship Id="rId1" Type="http://schemas.openxmlformats.org/officeDocument/2006/relationships/externalLinkPath" Target="&#25253;&#20215;&#21333;&#65288;&#19978;&#26376;&#22343;&#20215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2.11.21(3)含税"/>
      <sheetName val="23.08.17(4)未税"/>
      <sheetName val="24.4.15(3)未税 "/>
      <sheetName val="24.6.21(13)未税"/>
      <sheetName val="24.8.16(4)未税"/>
      <sheetName val="24.8.20(3)未税"/>
      <sheetName val="24.12.3(13)未税"/>
      <sheetName val="24.12.9五菱格式"/>
      <sheetName val="24.12.18客户格式"/>
      <sheetName val="24.12.21(2)未税"/>
      <sheetName val="24.12.23(10)未税"/>
      <sheetName val="24.12.24客户格式"/>
      <sheetName val="24.12.25客户格式"/>
      <sheetName val="24.12.31客户格式"/>
      <sheetName val="25.1.22客户格式"/>
      <sheetName val="25.1.25客户格式"/>
      <sheetName val="25.2.5客户格式"/>
      <sheetName val="25.2.11客户格式"/>
      <sheetName val="25.2.13(1)未税"/>
      <sheetName val="25.2.14客户格式"/>
      <sheetName val="25.2.17德泰纳单价汇总"/>
      <sheetName val="25.5.12客户格式"/>
      <sheetName val="25.3.28客户格式"/>
      <sheetName val="25.2.27客户格式"/>
      <sheetName val="25.3.5客户格式"/>
      <sheetName val="25.3.17客户格式"/>
      <sheetName val="25.3.20客户格式"/>
      <sheetName val="25.3.26客户格式"/>
      <sheetName val="25.4.7客户格式"/>
      <sheetName val="25.4.21柳州德泰纳客户格式"/>
      <sheetName val="25.4.23客户格式 (1)"/>
      <sheetName val="25.5.7客户格式 (1)"/>
      <sheetName val="25.6.26柳州德泰纳客户格式 "/>
      <sheetName val="25.6.29客户格式"/>
      <sheetName val="25.7.24柳州德泰纳客户格式"/>
      <sheetName val="25.7.24德泰纳客户格式"/>
      <sheetName val="25.8.18德泰纳客户格式 (4)"/>
      <sheetName val="25.8.25德泰纳 (5)"/>
      <sheetName val="25.8.29德泰纳(6)"/>
      <sheetName val="25.9.2柳州德泰纳 (1)"/>
      <sheetName val="25.9.11德泰纳(10)"/>
      <sheetName val="25.9.23柳州德泰纳 (2)"/>
      <sheetName val="25.9.23柳州德泰纳 (3)"/>
      <sheetName val="25.9.24柳州德泰纳 (6)"/>
      <sheetName val="25.10.11柳州德泰纳 (7)"/>
      <sheetName val="25.10.23武汉德泰纳(1)"/>
      <sheetName val="25.10.25武汉德泰纳 (1)"/>
      <sheetName val="25.11.7武汉德泰纳 (4)"/>
      <sheetName val="25.11.7柳州德泰纳 (5)"/>
      <sheetName val="25.11.11武汉德泰纳 (2)"/>
      <sheetName val="25.11.11武汉德泰纳(2)"/>
      <sheetName val="25.12.2武汉德泰纳 (1)"/>
      <sheetName val="25.12.10柳州德泰纳 (6)"/>
      <sheetName val="25.12.18武汉德泰纳(4)"/>
      <sheetName val="25.12.23柳州德泰纳 (2)"/>
      <sheetName val="25.12.24武汉德泰纳 (两款线报价单合并)"/>
      <sheetName val="25.12.26武汉德泰纳(4)"/>
      <sheetName val="26.1.8武汉德泰纳(8)"/>
      <sheetName val="26.1.10武汉德泰纳(2)"/>
      <sheetName val="26.1.22柳州德泰纳 (6)"/>
      <sheetName val="26.1.28武汉德泰纳 (10)"/>
      <sheetName val="26.1.30武汉德泰纳 (5)"/>
      <sheetName val="26.1.31武汉德泰纳 (2)"/>
      <sheetName val="26.2.25武汉德泰纳 (3)"/>
      <sheetName val="26.2.2武汉德泰纳(8)"/>
      <sheetName val="26.2.6武汉德泰纳(9)"/>
      <sheetName val="26.2.6武汉德泰纳(1)"/>
      <sheetName val="26.2.12武汉德泰纳(1)"/>
      <sheetName val="26.2.26武汉德泰纳(3)"/>
      <sheetName val="26.3.20武汉德泰纳(4)"/>
      <sheetName val="26.3.20武汉德泰纳(6)"/>
      <sheetName val="26.3.24柳州德泰纳(1)"/>
      <sheetName val="26.3.12武汉德泰纳"/>
      <sheetName val="26.3.23武汉德泰纳(3)"/>
      <sheetName val="26.4.1武汉德泰纳(7)"/>
      <sheetName val="26.4.2柳州德泰纳(2)"/>
      <sheetName val="26.4.22柳州德泰纳(5)"/>
      <sheetName val="26.4.30柳州德泰纳(7)"/>
      <sheetName val="26.4.23柳州德泰纳(5)"/>
      <sheetName val="26.4.24武汉德泰纳(7)"/>
      <sheetName val="26.4.25武汉德泰纳(7)"/>
      <sheetName val="26.4.28武汉德泰纳(12)"/>
      <sheetName val="26.4.28柳州德泰纳(13)"/>
      <sheetName val="26.4.30武汉德泰纳(1)"/>
      <sheetName val="26.3.24武汉德泰纳--一轮竞标铜80000"/>
      <sheetName val="26.4.25武汉德泰纳--二轮竞标铜80000"/>
      <sheetName val="提供惠州"/>
      <sheetName val="26.5.8武汉德泰纳(3)"/>
      <sheetName val="26.5.8柳州德泰纳(6)"/>
      <sheetName val="26.5.9武汉德泰纳(6)"/>
      <sheetName val="26.5.12武汉德泰纳--竞标"/>
      <sheetName val="总表"/>
      <sheetName val="总表含铝"/>
    </sheetNames>
    <sheetDataSet>
      <sheetData sheetId="0"/>
      <sheetData sheetId="1"/>
      <sheetData sheetId="2"/>
      <sheetData sheetId="3"/>
      <sheetData sheetId="4">
        <row r="28">
          <cell r="E28">
            <v>3.12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5C2C-AA7F-4AC7-A073-6C377CDB53B4}">
  <sheetPr codeName="Sheet149"/>
  <dimension ref="A1:HW94"/>
  <sheetViews>
    <sheetView tabSelected="1" topLeftCell="A10" workbookViewId="0">
      <selection activeCell="A28" sqref="A28:K46"/>
    </sheetView>
  </sheetViews>
  <sheetFormatPr defaultRowHeight="14.25"/>
  <cols>
    <col min="3" max="8" width="12.125" customWidth="1"/>
    <col min="9" max="9" width="13.375" customWidth="1"/>
    <col min="11" max="11" width="12.25" bestFit="1" customWidth="1"/>
    <col min="21" max="21" width="12.125" customWidth="1"/>
  </cols>
  <sheetData>
    <row r="1" spans="1:24" ht="25.5">
      <c r="A1" s="446" t="s">
        <v>162</v>
      </c>
      <c r="B1" s="446"/>
      <c r="C1" s="446"/>
      <c r="D1" s="446"/>
      <c r="E1" s="446"/>
      <c r="F1" s="446"/>
      <c r="G1" s="446"/>
      <c r="H1" s="446"/>
      <c r="I1" s="446"/>
      <c r="J1" s="505" t="s">
        <v>125</v>
      </c>
      <c r="K1" s="505"/>
      <c r="L1" s="239"/>
      <c r="M1" s="446" t="s">
        <v>162</v>
      </c>
      <c r="N1" s="446"/>
      <c r="O1" s="446"/>
      <c r="P1" s="446"/>
      <c r="Q1" s="446"/>
      <c r="R1" s="446"/>
      <c r="S1" s="446"/>
      <c r="T1" s="446"/>
      <c r="U1" s="446"/>
      <c r="V1" s="505" t="s">
        <v>125</v>
      </c>
      <c r="W1" s="505"/>
      <c r="X1" s="239" t="s">
        <v>196</v>
      </c>
    </row>
    <row r="2" spans="1:24" ht="25.5">
      <c r="A2" s="28"/>
      <c r="B2" s="28"/>
      <c r="C2" s="28"/>
      <c r="D2" s="28"/>
      <c r="E2" s="29"/>
      <c r="F2" s="30"/>
      <c r="G2" s="30"/>
      <c r="H2" s="30" t="s">
        <v>47</v>
      </c>
      <c r="I2" s="58" t="s">
        <v>200</v>
      </c>
      <c r="J2" s="505"/>
      <c r="K2" s="505"/>
      <c r="L2" s="239" t="s">
        <v>224</v>
      </c>
      <c r="M2" s="28"/>
      <c r="N2" s="28"/>
      <c r="O2" s="28"/>
      <c r="P2" s="28"/>
      <c r="Q2" s="29"/>
      <c r="R2" s="30"/>
      <c r="S2" s="30"/>
      <c r="T2" s="30" t="s">
        <v>47</v>
      </c>
      <c r="U2" s="194" t="s">
        <v>200</v>
      </c>
      <c r="V2" s="505"/>
      <c r="W2" s="505"/>
      <c r="X2" s="275" t="s">
        <v>213</v>
      </c>
    </row>
    <row r="3" spans="1:24">
      <c r="A3" s="31" t="s">
        <v>48</v>
      </c>
      <c r="B3" s="453" t="s">
        <v>201</v>
      </c>
      <c r="C3" s="453"/>
      <c r="D3" s="453"/>
      <c r="E3" s="453"/>
      <c r="F3" s="453"/>
      <c r="G3" s="31" t="s">
        <v>49</v>
      </c>
      <c r="H3" s="447" t="s">
        <v>242</v>
      </c>
      <c r="I3" s="447"/>
      <c r="M3" s="31" t="s">
        <v>48</v>
      </c>
      <c r="N3" s="453" t="s">
        <v>201</v>
      </c>
      <c r="O3" s="453"/>
      <c r="P3" s="453"/>
      <c r="Q3" s="453"/>
      <c r="R3" s="453"/>
      <c r="S3" s="31" t="s">
        <v>49</v>
      </c>
      <c r="T3" s="447" t="s">
        <v>204</v>
      </c>
      <c r="U3" s="447"/>
      <c r="V3" s="113"/>
      <c r="W3" s="113"/>
      <c r="X3" s="113"/>
    </row>
    <row r="4" spans="1:24">
      <c r="A4" s="31" t="s">
        <v>50</v>
      </c>
      <c r="B4" s="448" t="s">
        <v>168</v>
      </c>
      <c r="C4" s="449"/>
      <c r="D4" s="449"/>
      <c r="E4" s="449"/>
      <c r="F4" s="450"/>
      <c r="G4" s="31" t="s">
        <v>51</v>
      </c>
      <c r="H4" s="451" t="s">
        <v>202</v>
      </c>
      <c r="I4" s="451"/>
      <c r="M4" s="31" t="s">
        <v>50</v>
      </c>
      <c r="N4" s="448" t="s">
        <v>168</v>
      </c>
      <c r="O4" s="449"/>
      <c r="P4" s="449"/>
      <c r="Q4" s="449"/>
      <c r="R4" s="450"/>
      <c r="S4" s="31" t="s">
        <v>51</v>
      </c>
      <c r="T4" s="451" t="s">
        <v>202</v>
      </c>
      <c r="U4" s="451"/>
      <c r="V4" s="113"/>
      <c r="W4" s="113"/>
      <c r="X4" s="113"/>
    </row>
    <row r="5" spans="1:24">
      <c r="A5" s="452" t="s">
        <v>52</v>
      </c>
      <c r="B5" s="462" t="s">
        <v>53</v>
      </c>
      <c r="C5" s="453" t="s">
        <v>151</v>
      </c>
      <c r="D5" s="453"/>
      <c r="E5" s="453"/>
      <c r="F5" s="453"/>
      <c r="G5" s="31" t="s">
        <v>55</v>
      </c>
      <c r="H5" s="31" t="s">
        <v>56</v>
      </c>
      <c r="I5" s="31" t="s">
        <v>57</v>
      </c>
      <c r="M5" s="452" t="s">
        <v>52</v>
      </c>
      <c r="N5" s="462" t="s">
        <v>53</v>
      </c>
      <c r="O5" s="453" t="s">
        <v>151</v>
      </c>
      <c r="P5" s="453"/>
      <c r="Q5" s="453"/>
      <c r="R5" s="453"/>
      <c r="S5" s="31" t="s">
        <v>55</v>
      </c>
      <c r="T5" s="31" t="s">
        <v>56</v>
      </c>
      <c r="U5" s="31" t="s">
        <v>57</v>
      </c>
      <c r="V5" s="113"/>
      <c r="W5" s="113"/>
      <c r="X5" s="113"/>
    </row>
    <row r="6" spans="1:24" ht="15.75">
      <c r="A6" s="452"/>
      <c r="B6" s="452"/>
      <c r="C6" s="453"/>
      <c r="D6" s="453"/>
      <c r="E6" s="453"/>
      <c r="F6" s="453"/>
      <c r="G6" s="31" t="s">
        <v>58</v>
      </c>
      <c r="H6" s="32" t="s">
        <v>59</v>
      </c>
      <c r="I6" s="32" t="s">
        <v>60</v>
      </c>
      <c r="M6" s="452"/>
      <c r="N6" s="452"/>
      <c r="O6" s="453"/>
      <c r="P6" s="453"/>
      <c r="Q6" s="453"/>
      <c r="R6" s="453"/>
      <c r="S6" s="31" t="s">
        <v>58</v>
      </c>
      <c r="T6" s="32" t="s">
        <v>59</v>
      </c>
      <c r="U6" s="32" t="s">
        <v>60</v>
      </c>
      <c r="V6" s="113"/>
      <c r="W6" s="113"/>
      <c r="X6" s="113"/>
    </row>
    <row r="7" spans="1:24" ht="15.75">
      <c r="A7" s="243" t="s">
        <v>61</v>
      </c>
      <c r="B7" s="242" t="s">
        <v>62</v>
      </c>
      <c r="C7" s="541" t="s">
        <v>169</v>
      </c>
      <c r="D7" s="542"/>
      <c r="E7" s="542"/>
      <c r="F7" s="543"/>
      <c r="G7" s="246">
        <f>0.195^2*0.7854*8.89*1596*1.012*1.015/10</f>
        <v>43.525254820961109</v>
      </c>
      <c r="H7" s="305">
        <f>(J7+1055)/1000/1.13+0.8</f>
        <v>91.999115044247802</v>
      </c>
      <c r="I7" s="59">
        <f>G7*H7</f>
        <v>4004.2849256038025</v>
      </c>
      <c r="J7" s="223" t="s">
        <v>199</v>
      </c>
      <c r="K7" s="240" t="b">
        <f>C7=O7</f>
        <v>1</v>
      </c>
      <c r="M7" s="243" t="s">
        <v>61</v>
      </c>
      <c r="N7" s="242" t="s">
        <v>62</v>
      </c>
      <c r="O7" s="541" t="s">
        <v>169</v>
      </c>
      <c r="P7" s="542"/>
      <c r="Q7" s="542"/>
      <c r="R7" s="543"/>
      <c r="S7" s="306">
        <f>0.195^2*0.7854*8.89*1596*1.012*1.015/10</f>
        <v>43.525254820961109</v>
      </c>
      <c r="T7" s="340">
        <f>(V7+1055)/1000/1.13+1.18</f>
        <v>92.379115044247811</v>
      </c>
      <c r="U7" s="59">
        <f>S7*T7</f>
        <v>4020.8245224357679</v>
      </c>
      <c r="V7" s="113">
        <v>102000</v>
      </c>
      <c r="W7" s="113"/>
      <c r="X7" s="113"/>
    </row>
    <row r="8" spans="1:24" ht="15.75">
      <c r="A8" s="242">
        <v>2</v>
      </c>
      <c r="B8" s="242" t="s">
        <v>63</v>
      </c>
      <c r="C8" s="544" t="s">
        <v>207</v>
      </c>
      <c r="D8" s="542"/>
      <c r="E8" s="542"/>
      <c r="F8" s="543"/>
      <c r="G8" s="92">
        <f>(11.9^2-9.3^2*0.9)*0.7854*1.2/10</f>
        <v>6.0101007119999998</v>
      </c>
      <c r="H8" s="326">
        <f>28.0531+0.3</f>
        <v>28.353100000000001</v>
      </c>
      <c r="I8" s="59">
        <f>G8*H8</f>
        <v>170.40498649740721</v>
      </c>
      <c r="K8" s="240" t="b">
        <f t="shared" ref="K8:K11" si="0">C8=O8</f>
        <v>1</v>
      </c>
      <c r="M8" s="242">
        <v>2</v>
      </c>
      <c r="N8" s="242" t="s">
        <v>63</v>
      </c>
      <c r="O8" s="544" t="s">
        <v>207</v>
      </c>
      <c r="P8" s="542"/>
      <c r="Q8" s="542"/>
      <c r="R8" s="543"/>
      <c r="S8" s="92">
        <f>(11.9^2-9.3^2*0.9)*0.7854*1.2/10</f>
        <v>6.0101007119999998</v>
      </c>
      <c r="T8" s="265">
        <f>29.2035+0.3</f>
        <v>29.503499999999999</v>
      </c>
      <c r="U8" s="59">
        <f>S8*T8</f>
        <v>177.319006356492</v>
      </c>
      <c r="V8" s="113"/>
      <c r="W8" s="113"/>
      <c r="X8" s="113"/>
    </row>
    <row r="9" spans="1:24" ht="15.75">
      <c r="A9" s="242">
        <v>4</v>
      </c>
      <c r="B9" s="242" t="s">
        <v>146</v>
      </c>
      <c r="C9" s="247" t="s">
        <v>99</v>
      </c>
      <c r="D9" s="244"/>
      <c r="E9" s="244"/>
      <c r="F9" s="245"/>
      <c r="G9" s="248">
        <f>0.198^2*0.7854*24*8*8.89/(COS(ATAN(2*PI()*(11.9+2*0.198)*6/24/25.4)))*1.03/10</f>
        <v>6.8005890356395566</v>
      </c>
      <c r="H9" s="305">
        <f>(J7+1055)/1000/1.13+5.7</f>
        <v>96.899115044247807</v>
      </c>
      <c r="I9" s="59">
        <f>G9*H9</f>
        <v>658.97105933308762</v>
      </c>
      <c r="K9" s="240" t="b">
        <f t="shared" si="0"/>
        <v>1</v>
      </c>
      <c r="M9" s="242">
        <v>4</v>
      </c>
      <c r="N9" s="242" t="s">
        <v>146</v>
      </c>
      <c r="O9" s="247" t="s">
        <v>99</v>
      </c>
      <c r="P9" s="244"/>
      <c r="Q9" s="244"/>
      <c r="R9" s="245"/>
      <c r="S9" s="307">
        <f>0.198^2*0.7854*24*8*8.89/(COS(ATAN(2*PI()*(11.9+2*0.198)*6/24/25.4)))*1.03/10</f>
        <v>6.8005890356395566</v>
      </c>
      <c r="T9" s="340">
        <f>(V7+1055)/1000/1.13+5.7</f>
        <v>96.899115044247807</v>
      </c>
      <c r="U9" s="59">
        <f>S9*T9</f>
        <v>658.97105933308762</v>
      </c>
      <c r="V9" s="113"/>
      <c r="W9" s="113"/>
      <c r="X9" s="113"/>
    </row>
    <row r="10" spans="1:24" ht="15.75">
      <c r="A10" s="242">
        <v>4</v>
      </c>
      <c r="B10" s="242" t="s">
        <v>67</v>
      </c>
      <c r="C10" s="247" t="s">
        <v>167</v>
      </c>
      <c r="D10" s="244"/>
      <c r="E10" s="244"/>
      <c r="F10" s="245"/>
      <c r="G10" s="246">
        <f>3.1416*(12.7+0.035)*0.035*2*1.3/10</f>
        <v>0.36407531160000001</v>
      </c>
      <c r="H10" s="351">
        <v>23.5</v>
      </c>
      <c r="I10" s="59">
        <f>G10*H10</f>
        <v>8.5557698226000003</v>
      </c>
      <c r="K10" s="240" t="b">
        <f t="shared" si="0"/>
        <v>1</v>
      </c>
      <c r="M10" s="242">
        <v>4</v>
      </c>
      <c r="N10" s="242" t="s">
        <v>67</v>
      </c>
      <c r="O10" s="247" t="s">
        <v>167</v>
      </c>
      <c r="P10" s="244"/>
      <c r="Q10" s="244"/>
      <c r="R10" s="245"/>
      <c r="S10" s="246">
        <f>3.1416*(12.7+0.035)*0.035*2*1.3/10</f>
        <v>0.36407531160000001</v>
      </c>
      <c r="T10" s="265">
        <v>23.5</v>
      </c>
      <c r="U10" s="59">
        <f>S10*T10</f>
        <v>8.5557698226000003</v>
      </c>
      <c r="V10" s="113"/>
      <c r="W10" s="113"/>
      <c r="X10" s="113"/>
    </row>
    <row r="11" spans="1:24" ht="15.75">
      <c r="A11" s="242">
        <v>5</v>
      </c>
      <c r="B11" s="242" t="s">
        <v>150</v>
      </c>
      <c r="C11" s="544" t="s">
        <v>205</v>
      </c>
      <c r="D11" s="542"/>
      <c r="E11" s="542"/>
      <c r="F11" s="543"/>
      <c r="G11" s="92">
        <f>(15.5^2-12.8^2*0.95)*0.7854*1.2/10</f>
        <v>7.9735692959999982</v>
      </c>
      <c r="H11" s="326">
        <f>28.0531+0.3</f>
        <v>28.353100000000001</v>
      </c>
      <c r="I11" s="59">
        <f>G11*H11</f>
        <v>226.07540760641757</v>
      </c>
      <c r="K11" s="240" t="b">
        <f t="shared" si="0"/>
        <v>1</v>
      </c>
      <c r="M11" s="242">
        <v>5</v>
      </c>
      <c r="N11" s="242" t="s">
        <v>150</v>
      </c>
      <c r="O11" s="544" t="s">
        <v>205</v>
      </c>
      <c r="P11" s="542"/>
      <c r="Q11" s="542"/>
      <c r="R11" s="543"/>
      <c r="S11" s="92">
        <f>(15.5^2-12.8^2*0.95)*0.7854*1.2/10</f>
        <v>7.9735692959999982</v>
      </c>
      <c r="T11" s="265">
        <f>29.2035+0.3</f>
        <v>29.503499999999999</v>
      </c>
      <c r="U11" s="59">
        <f>S11*T11</f>
        <v>235.24820172453593</v>
      </c>
      <c r="V11" s="113"/>
      <c r="W11" s="113"/>
      <c r="X11" s="113"/>
    </row>
    <row r="12" spans="1:24" ht="15.75">
      <c r="A12" s="42" t="s">
        <v>69</v>
      </c>
      <c r="B12" s="43">
        <f>I12/100</f>
        <v>50.682921488633156</v>
      </c>
      <c r="C12" s="436" t="s">
        <v>70</v>
      </c>
      <c r="D12" s="436"/>
      <c r="E12" s="436"/>
      <c r="F12" s="436"/>
      <c r="G12" s="43">
        <f>SUM(G7:G11)/100</f>
        <v>0.64673589176200652</v>
      </c>
      <c r="H12" s="44" t="s">
        <v>71</v>
      </c>
      <c r="I12" s="60">
        <f>SUM(I7:I11)</f>
        <v>5068.2921488633156</v>
      </c>
      <c r="J12" s="281">
        <f>B12/I25</f>
        <v>0.86316732714035671</v>
      </c>
      <c r="M12" s="42" t="s">
        <v>69</v>
      </c>
      <c r="N12" s="43">
        <f>U12/100</f>
        <v>51.009185596724826</v>
      </c>
      <c r="O12" s="436" t="s">
        <v>70</v>
      </c>
      <c r="P12" s="436"/>
      <c r="Q12" s="436"/>
      <c r="R12" s="436"/>
      <c r="S12" s="43">
        <f>SUM(S7:S11)/100</f>
        <v>0.64673589176200652</v>
      </c>
      <c r="T12" s="44" t="s">
        <v>71</v>
      </c>
      <c r="U12" s="60">
        <f>SUM(U7:U11)</f>
        <v>5100.9185596724828</v>
      </c>
      <c r="V12" s="237">
        <f>N12/U25</f>
        <v>0.8686857505212302</v>
      </c>
      <c r="W12" s="113"/>
      <c r="X12" s="113"/>
    </row>
    <row r="13" spans="1:24" ht="36">
      <c r="A13" s="249" t="s">
        <v>53</v>
      </c>
      <c r="B13" s="250" t="s">
        <v>72</v>
      </c>
      <c r="C13" s="250" t="s">
        <v>73</v>
      </c>
      <c r="D13" s="249" t="s">
        <v>74</v>
      </c>
      <c r="E13" s="249" t="s">
        <v>75</v>
      </c>
      <c r="F13" s="250" t="s">
        <v>76</v>
      </c>
      <c r="G13" s="250" t="s">
        <v>77</v>
      </c>
      <c r="H13" s="251" t="s">
        <v>78</v>
      </c>
      <c r="I13" s="249" t="s">
        <v>79</v>
      </c>
      <c r="M13" s="249" t="s">
        <v>53</v>
      </c>
      <c r="N13" s="250" t="s">
        <v>72</v>
      </c>
      <c r="O13" s="250" t="s">
        <v>73</v>
      </c>
      <c r="P13" s="249" t="s">
        <v>74</v>
      </c>
      <c r="Q13" s="249" t="s">
        <v>75</v>
      </c>
      <c r="R13" s="250" t="s">
        <v>76</v>
      </c>
      <c r="S13" s="250" t="s">
        <v>77</v>
      </c>
      <c r="T13" s="251" t="s">
        <v>78</v>
      </c>
      <c r="U13" s="249" t="s">
        <v>79</v>
      </c>
      <c r="V13" s="113"/>
      <c r="W13" s="113"/>
      <c r="X13" s="113"/>
    </row>
    <row r="14" spans="1:24" ht="15.75">
      <c r="A14" s="242" t="s">
        <v>62</v>
      </c>
      <c r="B14" s="252">
        <f>1000/60/80*19</f>
        <v>3.9583333333333335</v>
      </c>
      <c r="C14" s="253">
        <v>0</v>
      </c>
      <c r="D14" s="254">
        <v>15</v>
      </c>
      <c r="E14" s="254">
        <f>B14*D14*G23/1000</f>
        <v>2968.75</v>
      </c>
      <c r="F14" s="255"/>
      <c r="G14" s="71"/>
      <c r="H14" s="256">
        <f>F14*I7</f>
        <v>0</v>
      </c>
      <c r="I14" s="254">
        <f>E14+H14*G21</f>
        <v>2968.75</v>
      </c>
      <c r="J14" s="113" t="s">
        <v>214</v>
      </c>
      <c r="M14" s="242" t="s">
        <v>62</v>
      </c>
      <c r="N14" s="252">
        <f>1000/60/80*19</f>
        <v>3.9583333333333335</v>
      </c>
      <c r="O14" s="253">
        <v>0</v>
      </c>
      <c r="P14" s="254">
        <v>15</v>
      </c>
      <c r="Q14" s="254">
        <f>N14*P14*S23/1000</f>
        <v>1187.5</v>
      </c>
      <c r="R14" s="255"/>
      <c r="S14" s="71"/>
      <c r="T14" s="256">
        <f>R14*U7</f>
        <v>0</v>
      </c>
      <c r="U14" s="254">
        <f>Q14+T14*S21</f>
        <v>1187.5</v>
      </c>
      <c r="V14" s="113" t="s">
        <v>214</v>
      </c>
      <c r="W14" s="113"/>
      <c r="X14" s="113"/>
    </row>
    <row r="15" spans="1:24" ht="15.75">
      <c r="A15" s="242" t="s">
        <v>62</v>
      </c>
      <c r="B15" s="252">
        <f>1000/3000*12</f>
        <v>4</v>
      </c>
      <c r="C15" s="253">
        <v>0</v>
      </c>
      <c r="D15" s="254">
        <v>60</v>
      </c>
      <c r="E15" s="254">
        <f>B15*D15*G23/1000</f>
        <v>12000</v>
      </c>
      <c r="F15" s="255"/>
      <c r="G15" s="71"/>
      <c r="H15" s="256">
        <f>F15*I7</f>
        <v>0</v>
      </c>
      <c r="I15" s="254">
        <f>E15+H15*G21</f>
        <v>12000</v>
      </c>
      <c r="M15" s="242" t="s">
        <v>62</v>
      </c>
      <c r="N15" s="252">
        <f>1000/3000*12</f>
        <v>4</v>
      </c>
      <c r="O15" s="253">
        <v>0</v>
      </c>
      <c r="P15" s="254">
        <v>60</v>
      </c>
      <c r="Q15" s="254">
        <f>N15*P15*S23/1000</f>
        <v>4800</v>
      </c>
      <c r="R15" s="255"/>
      <c r="S15" s="71"/>
      <c r="T15" s="256">
        <f>R15*U7</f>
        <v>0</v>
      </c>
      <c r="U15" s="254">
        <f>Q15+T15*S21</f>
        <v>4800</v>
      </c>
      <c r="V15" s="113"/>
      <c r="W15" s="113"/>
      <c r="X15" s="113"/>
    </row>
    <row r="16" spans="1:24" ht="15.75">
      <c r="A16" s="242" t="s">
        <v>63</v>
      </c>
      <c r="B16" s="252">
        <f>1000/60/20</f>
        <v>0.83333333333333337</v>
      </c>
      <c r="C16" s="253">
        <v>0</v>
      </c>
      <c r="D16" s="254">
        <v>300</v>
      </c>
      <c r="E16" s="254">
        <f>B16*D16*G23/1000</f>
        <v>12500</v>
      </c>
      <c r="F16" s="255"/>
      <c r="G16" s="71"/>
      <c r="H16" s="256">
        <f>F16*(I7+I8)+G16*H8</f>
        <v>0</v>
      </c>
      <c r="I16" s="254">
        <f>E16+H16*G16</f>
        <v>12500</v>
      </c>
      <c r="M16" s="242" t="s">
        <v>63</v>
      </c>
      <c r="N16" s="252">
        <f>1000/60/20</f>
        <v>0.83333333333333337</v>
      </c>
      <c r="O16" s="253">
        <v>0</v>
      </c>
      <c r="P16" s="254">
        <v>300</v>
      </c>
      <c r="Q16" s="254">
        <f>N16*P16*S23/1000</f>
        <v>5000</v>
      </c>
      <c r="R16" s="255"/>
      <c r="S16" s="71"/>
      <c r="T16" s="256">
        <f>R16*(U7+U8)+S16*T8</f>
        <v>0</v>
      </c>
      <c r="U16" s="254">
        <f>Q16+T16*S16</f>
        <v>5000</v>
      </c>
      <c r="V16" s="113"/>
      <c r="W16" s="113"/>
      <c r="X16" s="113"/>
    </row>
    <row r="17" spans="1:228" ht="15.75">
      <c r="A17" s="242" t="s">
        <v>146</v>
      </c>
      <c r="B17" s="252">
        <f>1000/60/2</f>
        <v>8.3333333333333339</v>
      </c>
      <c r="C17" s="253">
        <v>0</v>
      </c>
      <c r="D17" s="254">
        <v>30</v>
      </c>
      <c r="E17" s="254">
        <f>B17*D17*G23/1000</f>
        <v>12500.000000000002</v>
      </c>
      <c r="F17" s="255"/>
      <c r="G17" s="71"/>
      <c r="H17" s="256">
        <f>F17*(I7+I8+I9)</f>
        <v>0</v>
      </c>
      <c r="I17" s="254">
        <f>E17+H17*G21</f>
        <v>12500.000000000002</v>
      </c>
      <c r="M17" s="242" t="s">
        <v>146</v>
      </c>
      <c r="N17" s="252">
        <f>1000/60/2</f>
        <v>8.3333333333333339</v>
      </c>
      <c r="O17" s="253">
        <v>0</v>
      </c>
      <c r="P17" s="254">
        <v>30</v>
      </c>
      <c r="Q17" s="254">
        <f>N17*P17*S23/1000</f>
        <v>5000.0000000000009</v>
      </c>
      <c r="R17" s="255"/>
      <c r="S17" s="71"/>
      <c r="T17" s="256">
        <f>R17*(U7+U8+U9)</f>
        <v>0</v>
      </c>
      <c r="U17" s="254">
        <f>Q17+T17*S21</f>
        <v>5000.0000000000009</v>
      </c>
      <c r="V17" s="113"/>
      <c r="W17" s="113"/>
      <c r="X17" s="113"/>
    </row>
    <row r="18" spans="1:228" ht="15.75">
      <c r="A18" s="242" t="s">
        <v>149</v>
      </c>
      <c r="B18" s="252">
        <f>1000/60/15</f>
        <v>1.1111111111111112</v>
      </c>
      <c r="C18" s="253">
        <v>0</v>
      </c>
      <c r="D18" s="254">
        <v>15</v>
      </c>
      <c r="E18" s="254">
        <f>B18*D18*G23/1000</f>
        <v>833.33333333333337</v>
      </c>
      <c r="F18" s="255"/>
      <c r="G18" s="71"/>
      <c r="H18" s="256">
        <f>F18*(I7+I8+I9+I10)</f>
        <v>0</v>
      </c>
      <c r="I18" s="254">
        <f>E18+H18*G21</f>
        <v>833.33333333333337</v>
      </c>
      <c r="M18" s="242" t="s">
        <v>149</v>
      </c>
      <c r="N18" s="252">
        <f>1000/60/15</f>
        <v>1.1111111111111112</v>
      </c>
      <c r="O18" s="253">
        <v>0</v>
      </c>
      <c r="P18" s="254">
        <v>15</v>
      </c>
      <c r="Q18" s="254">
        <f>N18*P18*S23/1000</f>
        <v>333.33333333333337</v>
      </c>
      <c r="R18" s="255"/>
      <c r="S18" s="71"/>
      <c r="T18" s="256">
        <f>R18*(U7+U8+U9+U10)</f>
        <v>0</v>
      </c>
      <c r="U18" s="254">
        <f>Q18+T18*S21</f>
        <v>333.33333333333337</v>
      </c>
      <c r="V18" s="113"/>
      <c r="W18" s="113"/>
      <c r="X18" s="113"/>
    </row>
    <row r="19" spans="1:228" ht="15.75">
      <c r="A19" s="242" t="s">
        <v>150</v>
      </c>
      <c r="B19" s="252">
        <f>1000/60/15</f>
        <v>1.1111111111111112</v>
      </c>
      <c r="C19" s="253">
        <v>0</v>
      </c>
      <c r="D19" s="254">
        <v>300</v>
      </c>
      <c r="E19" s="254">
        <f>B19*D19*G23/1000</f>
        <v>16666.666666666668</v>
      </c>
      <c r="F19" s="255"/>
      <c r="G19" s="71"/>
      <c r="H19" s="256">
        <f>F19*(SUM(I7:I11))+G19*H11</f>
        <v>0</v>
      </c>
      <c r="I19" s="254">
        <f>E19+H19*G21</f>
        <v>16666.666666666668</v>
      </c>
      <c r="K19" s="286"/>
      <c r="M19" s="242" t="s">
        <v>150</v>
      </c>
      <c r="N19" s="252">
        <f>1000/60/15</f>
        <v>1.1111111111111112</v>
      </c>
      <c r="O19" s="253">
        <v>0</v>
      </c>
      <c r="P19" s="254">
        <v>300</v>
      </c>
      <c r="Q19" s="254">
        <f>N19*P19*S23/1000</f>
        <v>6666.666666666667</v>
      </c>
      <c r="R19" s="255"/>
      <c r="S19" s="71"/>
      <c r="T19" s="256">
        <f>R19*(SUM(U7:U11))+S19*T11</f>
        <v>0</v>
      </c>
      <c r="U19" s="254">
        <f>Q19+T19*S21</f>
        <v>6666.666666666667</v>
      </c>
      <c r="V19" s="113"/>
      <c r="W19" s="113"/>
      <c r="X19" s="113"/>
    </row>
    <row r="20" spans="1:228" ht="24">
      <c r="A20" s="534" t="s">
        <v>147</v>
      </c>
      <c r="B20" s="535"/>
      <c r="C20" s="257" t="s">
        <v>82</v>
      </c>
      <c r="D20" s="258" t="s">
        <v>83</v>
      </c>
      <c r="E20" s="258" t="s">
        <v>84</v>
      </c>
      <c r="F20" s="74" t="s">
        <v>85</v>
      </c>
      <c r="G20" s="75" t="s">
        <v>86</v>
      </c>
      <c r="H20" s="259" t="s">
        <v>87</v>
      </c>
      <c r="I20" s="260">
        <f>SUM(I14:I19)</f>
        <v>57468.75</v>
      </c>
      <c r="M20" s="534" t="s">
        <v>147</v>
      </c>
      <c r="N20" s="535"/>
      <c r="O20" s="257" t="s">
        <v>82</v>
      </c>
      <c r="P20" s="258" t="s">
        <v>83</v>
      </c>
      <c r="Q20" s="258" t="s">
        <v>84</v>
      </c>
      <c r="R20" s="74" t="s">
        <v>85</v>
      </c>
      <c r="S20" s="75" t="s">
        <v>86</v>
      </c>
      <c r="T20" s="259" t="s">
        <v>87</v>
      </c>
      <c r="U20" s="260">
        <f>SUM(U14:U19)</f>
        <v>22987.5</v>
      </c>
      <c r="V20" s="113"/>
      <c r="W20" s="113"/>
      <c r="X20" s="113"/>
    </row>
    <row r="21" spans="1:228" ht="15">
      <c r="A21" s="536"/>
      <c r="B21" s="537"/>
      <c r="C21" s="261">
        <v>0</v>
      </c>
      <c r="D21" s="277">
        <v>0.79800000000000004</v>
      </c>
      <c r="E21" s="261">
        <v>0.24</v>
      </c>
      <c r="F21" s="128">
        <v>0.02</v>
      </c>
      <c r="G21" s="53">
        <v>1</v>
      </c>
      <c r="H21" s="540" t="s">
        <v>88</v>
      </c>
      <c r="I21" s="444" t="s">
        <v>89</v>
      </c>
      <c r="M21" s="536"/>
      <c r="N21" s="537"/>
      <c r="O21" s="57">
        <v>0</v>
      </c>
      <c r="P21" s="57">
        <v>0.8</v>
      </c>
      <c r="Q21" s="261">
        <v>0.24</v>
      </c>
      <c r="R21" s="128">
        <v>0.02</v>
      </c>
      <c r="S21" s="53">
        <v>1</v>
      </c>
      <c r="T21" s="540" t="s">
        <v>88</v>
      </c>
      <c r="U21" s="444" t="s">
        <v>89</v>
      </c>
      <c r="V21" s="113"/>
      <c r="W21" s="113"/>
      <c r="X21" s="113"/>
    </row>
    <row r="22" spans="1:228" ht="24">
      <c r="A22" s="536"/>
      <c r="B22" s="537"/>
      <c r="C22" s="214" t="s">
        <v>105</v>
      </c>
      <c r="D22" s="278" t="s">
        <v>106</v>
      </c>
      <c r="E22" s="257" t="s">
        <v>90</v>
      </c>
      <c r="F22" s="262" t="s">
        <v>91</v>
      </c>
      <c r="G22" s="263" t="s">
        <v>92</v>
      </c>
      <c r="H22" s="540"/>
      <c r="I22" s="445"/>
      <c r="M22" s="536"/>
      <c r="N22" s="537"/>
      <c r="O22" s="81" t="s">
        <v>98</v>
      </c>
      <c r="P22" s="21" t="s">
        <v>106</v>
      </c>
      <c r="Q22" s="257" t="s">
        <v>90</v>
      </c>
      <c r="R22" s="262" t="s">
        <v>91</v>
      </c>
      <c r="S22" s="263" t="s">
        <v>92</v>
      </c>
      <c r="T22" s="540"/>
      <c r="U22" s="445"/>
      <c r="V22" s="113"/>
      <c r="W22" s="113"/>
      <c r="X22" s="113"/>
    </row>
    <row r="23" spans="1:228" ht="18.75">
      <c r="A23" s="536"/>
      <c r="B23" s="537"/>
      <c r="C23" s="366">
        <f>220/4</f>
        <v>55</v>
      </c>
      <c r="D23" s="219">
        <v>5.0999999999999997E-2</v>
      </c>
      <c r="E23" s="279">
        <v>0</v>
      </c>
      <c r="F23" s="147">
        <v>0</v>
      </c>
      <c r="G23" s="280">
        <v>50000</v>
      </c>
      <c r="H23" s="264">
        <f>I20/G23+B12+B12*F21</f>
        <v>52.845954918405816</v>
      </c>
      <c r="I23" s="266">
        <f>(H23/(1-D23)+C21+E21+E23/G23+C23/G23+C25*D25+D21*G12)*(1+F23)*(1+E25+F25)</f>
        <v>58.277534806951543</v>
      </c>
      <c r="M23" s="536"/>
      <c r="N23" s="537"/>
      <c r="O23" s="149">
        <f>220/2</f>
        <v>110</v>
      </c>
      <c r="P23" s="219">
        <v>4.5719999999999997E-2</v>
      </c>
      <c r="Q23" s="87">
        <v>0</v>
      </c>
      <c r="R23" s="159">
        <v>0</v>
      </c>
      <c r="S23" s="69">
        <v>20000</v>
      </c>
      <c r="T23" s="264">
        <f>U20/S23+N12+N12*R21</f>
        <v>53.178744308659319</v>
      </c>
      <c r="U23" s="266">
        <f>(T23/(1-P23)+O21+Q21+Q23/S23+O23/S23+O25*P25+P21*S12)*(1+R23)*(1+Q25+R25)</f>
        <v>58.325358644181811</v>
      </c>
      <c r="V23" s="113"/>
      <c r="W23" s="113"/>
      <c r="X23" s="113"/>
    </row>
    <row r="24" spans="1:228">
      <c r="A24" s="536"/>
      <c r="B24" s="537"/>
      <c r="C24" s="51" t="s">
        <v>93</v>
      </c>
      <c r="D24" s="51" t="s">
        <v>94</v>
      </c>
      <c r="E24" s="214" t="s">
        <v>101</v>
      </c>
      <c r="F24" s="214" t="s">
        <v>102</v>
      </c>
      <c r="G24" s="214" t="s">
        <v>103</v>
      </c>
      <c r="H24" s="54" t="s">
        <v>95</v>
      </c>
      <c r="I24" s="267" t="s">
        <v>96</v>
      </c>
      <c r="J24" s="26" t="s">
        <v>241</v>
      </c>
      <c r="M24" s="536"/>
      <c r="N24" s="537"/>
      <c r="O24" s="51" t="s">
        <v>93</v>
      </c>
      <c r="P24" s="51" t="s">
        <v>94</v>
      </c>
      <c r="Q24" s="158" t="s">
        <v>101</v>
      </c>
      <c r="R24" s="158" t="s">
        <v>102</v>
      </c>
      <c r="S24" s="158" t="s">
        <v>103</v>
      </c>
      <c r="T24" s="54" t="s">
        <v>95</v>
      </c>
      <c r="U24" s="267" t="s">
        <v>96</v>
      </c>
      <c r="V24" s="113" t="s">
        <v>216</v>
      </c>
      <c r="W24" s="113"/>
      <c r="X24" s="113"/>
    </row>
    <row r="25" spans="1:228" ht="18.75">
      <c r="A25" s="538"/>
      <c r="B25" s="539"/>
      <c r="C25" s="55">
        <v>0</v>
      </c>
      <c r="D25" s="123">
        <v>0</v>
      </c>
      <c r="E25" s="144">
        <f>0.5%+0.5%</f>
        <v>0.01</v>
      </c>
      <c r="F25" s="144">
        <f>0.25%*3+0.25%*6</f>
        <v>2.2499999999999999E-2</v>
      </c>
      <c r="G25" s="231">
        <v>0.15</v>
      </c>
      <c r="H25" s="264">
        <f>(H23+C21+E21+E23/G23+C23/G23+C25*D25+D21*G12)*(1+F23)*(1+E25+F25)</f>
        <v>55.345252540232934</v>
      </c>
      <c r="I25" s="266">
        <f>I23+(I23-H25)*G25</f>
        <v>58.717377146959336</v>
      </c>
      <c r="J25">
        <v>58.719518849557531</v>
      </c>
      <c r="K25" s="274">
        <f>I25/J25-1</f>
        <v>-3.6473435752748529E-5</v>
      </c>
      <c r="M25" s="538"/>
      <c r="N25" s="539"/>
      <c r="O25" s="55">
        <v>0</v>
      </c>
      <c r="P25" s="123">
        <v>0</v>
      </c>
      <c r="Q25" s="156">
        <f>0.5%+0.5%</f>
        <v>0.01</v>
      </c>
      <c r="R25" s="156">
        <f>0.25%*3+0.25%*6</f>
        <v>2.2499999999999999E-2</v>
      </c>
      <c r="S25" s="155">
        <v>0.15</v>
      </c>
      <c r="T25" s="264">
        <f>(T23+O21+Q21+Q23/S23+O23/S23+O25*P25+P21*S12)*(1+R23)*(1+Q25+R25)</f>
        <v>55.69473609528616</v>
      </c>
      <c r="U25" s="266">
        <f>U23+(U23-T25)*S25</f>
        <v>58.719952026516161</v>
      </c>
      <c r="V25" s="113">
        <v>58.719518849557531</v>
      </c>
      <c r="W25" s="198">
        <f>U25/V25-1</f>
        <v>7.377052249735172E-6</v>
      </c>
      <c r="X25" s="113"/>
    </row>
    <row r="26" spans="1:228" s="202" customFormat="1" ht="49.5">
      <c r="A26" s="203" t="s">
        <v>52</v>
      </c>
      <c r="B26" s="203" t="s">
        <v>107</v>
      </c>
      <c r="C26" s="203"/>
      <c r="D26" s="203" t="s">
        <v>128</v>
      </c>
      <c r="E26" s="204" t="s">
        <v>129</v>
      </c>
      <c r="F26" s="204" t="s">
        <v>130</v>
      </c>
      <c r="G26" s="204" t="s">
        <v>131</v>
      </c>
      <c r="H26" s="204" t="s">
        <v>132</v>
      </c>
      <c r="I26" s="204" t="s">
        <v>133</v>
      </c>
      <c r="J26" s="204" t="s">
        <v>134</v>
      </c>
      <c r="K26" s="293" t="s">
        <v>135</v>
      </c>
      <c r="L26" s="204" t="s">
        <v>2</v>
      </c>
      <c r="M26" s="211" t="s">
        <v>4</v>
      </c>
      <c r="N26" s="211" t="s">
        <v>5</v>
      </c>
    </row>
    <row r="27" spans="1:228" s="205" customFormat="1" ht="68.25" customHeight="1">
      <c r="A27" s="221" t="s">
        <v>225</v>
      </c>
      <c r="B27" s="222" t="s">
        <v>97</v>
      </c>
      <c r="C27" s="294" t="s">
        <v>211</v>
      </c>
      <c r="D27" s="297" t="s">
        <v>255</v>
      </c>
      <c r="E27" s="206">
        <v>503.26</v>
      </c>
      <c r="F27" s="207">
        <v>102</v>
      </c>
      <c r="G27" s="208">
        <f>F27/1.13</f>
        <v>90.26548672566372</v>
      </c>
      <c r="H27" s="209">
        <v>13292.51</v>
      </c>
      <c r="I27" s="295">
        <f>E27*G27+H27</f>
        <v>58719.518849557528</v>
      </c>
      <c r="J27" s="210">
        <f>I27/1000</f>
        <v>58.719518849557531</v>
      </c>
      <c r="K27" s="211" t="s">
        <v>256</v>
      </c>
      <c r="L27" s="211" t="s">
        <v>212</v>
      </c>
      <c r="M27" s="218">
        <v>4.5719999999999997E-2</v>
      </c>
      <c r="N27" s="218">
        <v>0.8686857505212302</v>
      </c>
      <c r="O27" s="296"/>
      <c r="P27" s="296">
        <f>O27-J27</f>
        <v>-58.719518849557531</v>
      </c>
      <c r="Q27" s="296">
        <f>P27*1000</f>
        <v>-58719.518849557528</v>
      </c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  <c r="CK27" s="202"/>
      <c r="CL27" s="202"/>
      <c r="CM27" s="202"/>
      <c r="CN27" s="202"/>
      <c r="CO27" s="202"/>
      <c r="CP27" s="202"/>
      <c r="CQ27" s="202"/>
      <c r="CR27" s="202"/>
      <c r="CS27" s="202"/>
      <c r="CT27" s="202"/>
      <c r="CU27" s="202"/>
      <c r="CV27" s="202"/>
      <c r="CW27" s="202"/>
      <c r="CX27" s="202"/>
      <c r="CY27" s="202"/>
      <c r="CZ27" s="202"/>
      <c r="DA27" s="202"/>
      <c r="DB27" s="202"/>
      <c r="DC27" s="202"/>
      <c r="DD27" s="202"/>
      <c r="DE27" s="202"/>
      <c r="DF27" s="202"/>
      <c r="DG27" s="202"/>
      <c r="DH27" s="202"/>
      <c r="DI27" s="202"/>
      <c r="DJ27" s="202"/>
      <c r="DK27" s="202"/>
      <c r="DL27" s="202"/>
      <c r="DM27" s="202"/>
      <c r="DN27" s="202"/>
      <c r="DO27" s="202"/>
      <c r="DP27" s="202"/>
      <c r="DQ27" s="202"/>
      <c r="DR27" s="202"/>
      <c r="DS27" s="202"/>
      <c r="DT27" s="202"/>
      <c r="DU27" s="202"/>
      <c r="DV27" s="202"/>
      <c r="DW27" s="202"/>
      <c r="DX27" s="202"/>
      <c r="DY27" s="202"/>
      <c r="DZ27" s="202"/>
      <c r="EA27" s="202"/>
      <c r="EB27" s="202"/>
      <c r="EC27" s="202"/>
      <c r="ED27" s="202"/>
      <c r="EE27" s="202"/>
      <c r="EF27" s="202"/>
      <c r="EG27" s="202"/>
      <c r="EH27" s="202"/>
      <c r="EI27" s="202"/>
      <c r="EJ27" s="202"/>
      <c r="EK27" s="202"/>
      <c r="EL27" s="202"/>
      <c r="EM27" s="202"/>
      <c r="EN27" s="202"/>
      <c r="EO27" s="202"/>
      <c r="EP27" s="202"/>
      <c r="EQ27" s="202"/>
      <c r="ER27" s="202"/>
      <c r="ES27" s="202"/>
      <c r="ET27" s="202"/>
      <c r="EU27" s="202"/>
      <c r="EV27" s="202"/>
      <c r="EW27" s="202"/>
      <c r="EX27" s="202"/>
      <c r="EY27" s="202"/>
      <c r="EZ27" s="202"/>
      <c r="FA27" s="202"/>
      <c r="FB27" s="202"/>
      <c r="FC27" s="202"/>
      <c r="FD27" s="202"/>
      <c r="FE27" s="202"/>
      <c r="FF27" s="202"/>
      <c r="FG27" s="202"/>
      <c r="FH27" s="202"/>
      <c r="FI27" s="202"/>
      <c r="FJ27" s="202"/>
      <c r="FK27" s="202"/>
      <c r="FL27" s="202"/>
      <c r="FM27" s="202"/>
      <c r="FN27" s="202"/>
      <c r="FO27" s="202"/>
      <c r="FP27" s="202"/>
      <c r="FQ27" s="202"/>
      <c r="FR27" s="202"/>
      <c r="FS27" s="202"/>
      <c r="FT27" s="202"/>
      <c r="FU27" s="202"/>
      <c r="FV27" s="202"/>
      <c r="FW27" s="202"/>
      <c r="FX27" s="202"/>
      <c r="FY27" s="202"/>
      <c r="FZ27" s="202"/>
      <c r="GA27" s="202"/>
      <c r="GB27" s="202"/>
      <c r="GC27" s="202"/>
      <c r="GD27" s="202"/>
      <c r="GE27" s="202"/>
      <c r="GF27" s="202"/>
      <c r="GG27" s="202"/>
      <c r="GH27" s="202"/>
      <c r="GI27" s="202"/>
      <c r="GJ27" s="202"/>
      <c r="GK27" s="202"/>
      <c r="GL27" s="202"/>
      <c r="GM27" s="202"/>
      <c r="GN27" s="202"/>
      <c r="GO27" s="202"/>
      <c r="GP27" s="202"/>
      <c r="GQ27" s="202"/>
      <c r="GR27" s="202"/>
      <c r="GS27" s="202"/>
      <c r="GT27" s="202"/>
      <c r="GU27" s="202"/>
      <c r="GV27" s="202"/>
      <c r="GW27" s="202"/>
      <c r="GX27" s="202"/>
      <c r="GY27" s="202"/>
      <c r="GZ27" s="202"/>
      <c r="HA27" s="202"/>
      <c r="HB27" s="202"/>
      <c r="HC27" s="202"/>
      <c r="HD27" s="202"/>
      <c r="HE27" s="202"/>
      <c r="HF27" s="202"/>
      <c r="HG27" s="202"/>
      <c r="HH27" s="202"/>
      <c r="HI27" s="202"/>
      <c r="HJ27" s="202"/>
      <c r="HK27" s="202"/>
      <c r="HL27" s="202"/>
      <c r="HM27" s="202"/>
      <c r="HN27" s="202"/>
      <c r="HO27" s="202"/>
      <c r="HP27" s="202"/>
      <c r="HQ27" s="202"/>
      <c r="HR27" s="202"/>
      <c r="HS27" s="202"/>
      <c r="HT27" s="202"/>
    </row>
    <row r="28" spans="1:228" ht="25.5">
      <c r="A28" s="446" t="s">
        <v>163</v>
      </c>
      <c r="B28" s="446"/>
      <c r="C28" s="446"/>
      <c r="D28" s="446"/>
      <c r="E28" s="446"/>
      <c r="F28" s="446"/>
      <c r="G28" s="446"/>
      <c r="H28" s="446"/>
      <c r="I28" s="446"/>
      <c r="M28" s="446" t="s">
        <v>46</v>
      </c>
      <c r="N28" s="446"/>
      <c r="O28" s="446"/>
      <c r="P28" s="446"/>
      <c r="Q28" s="446"/>
      <c r="R28" s="446"/>
      <c r="S28" s="446"/>
      <c r="T28" s="446"/>
      <c r="U28" s="446"/>
      <c r="V28" s="505" t="s">
        <v>125</v>
      </c>
      <c r="W28" s="505"/>
      <c r="X28" s="239" t="s">
        <v>160</v>
      </c>
    </row>
    <row r="29" spans="1:228" ht="25.5">
      <c r="A29" s="28"/>
      <c r="B29" s="28"/>
      <c r="C29" s="28"/>
      <c r="D29" s="28"/>
      <c r="E29" s="29"/>
      <c r="F29" s="30"/>
      <c r="G29" s="30"/>
      <c r="H29" s="30" t="s">
        <v>47</v>
      </c>
      <c r="I29" s="58" t="s">
        <v>243</v>
      </c>
      <c r="M29" s="28"/>
      <c r="N29" s="28"/>
      <c r="O29" s="28"/>
      <c r="P29" s="28"/>
      <c r="Q29" s="29"/>
      <c r="R29" s="30"/>
      <c r="S29" s="30"/>
      <c r="T29" s="30" t="s">
        <v>47</v>
      </c>
      <c r="U29" s="58" t="s">
        <v>159</v>
      </c>
      <c r="V29" s="505"/>
      <c r="W29" s="505"/>
      <c r="X29" s="275" t="s">
        <v>158</v>
      </c>
    </row>
    <row r="30" spans="1:228">
      <c r="A30" s="31" t="s">
        <v>48</v>
      </c>
      <c r="B30" s="453" t="s">
        <v>186</v>
      </c>
      <c r="C30" s="453"/>
      <c r="D30" s="453"/>
      <c r="E30" s="453"/>
      <c r="F30" s="453"/>
      <c r="G30" s="31" t="s">
        <v>49</v>
      </c>
      <c r="H30" s="447" t="s">
        <v>244</v>
      </c>
      <c r="I30" s="447"/>
      <c r="M30" s="31" t="s">
        <v>48</v>
      </c>
      <c r="N30" s="453" t="s">
        <v>186</v>
      </c>
      <c r="O30" s="453"/>
      <c r="P30" s="453"/>
      <c r="Q30" s="453"/>
      <c r="R30" s="453"/>
      <c r="S30" s="31" t="s">
        <v>49</v>
      </c>
      <c r="T30" s="447" t="s">
        <v>188</v>
      </c>
      <c r="U30" s="447"/>
      <c r="V30" s="223" t="s">
        <v>190</v>
      </c>
    </row>
    <row r="31" spans="1:228">
      <c r="A31" s="31" t="s">
        <v>50</v>
      </c>
      <c r="B31" s="448" t="s">
        <v>222</v>
      </c>
      <c r="C31" s="449"/>
      <c r="D31" s="449"/>
      <c r="E31" s="449"/>
      <c r="F31" s="450"/>
      <c r="G31" s="31" t="s">
        <v>51</v>
      </c>
      <c r="H31" s="451" t="s">
        <v>223</v>
      </c>
      <c r="I31" s="451"/>
      <c r="M31" s="31" t="s">
        <v>50</v>
      </c>
      <c r="N31" s="448" t="s">
        <v>145</v>
      </c>
      <c r="O31" s="449"/>
      <c r="P31" s="449"/>
      <c r="Q31" s="449"/>
      <c r="R31" s="450"/>
      <c r="S31" s="31" t="s">
        <v>51</v>
      </c>
      <c r="T31" s="451" t="s">
        <v>189</v>
      </c>
      <c r="U31" s="451"/>
    </row>
    <row r="32" spans="1:228">
      <c r="A32" s="452" t="s">
        <v>52</v>
      </c>
      <c r="B32" s="462" t="s">
        <v>53</v>
      </c>
      <c r="C32" s="453" t="s">
        <v>151</v>
      </c>
      <c r="D32" s="453"/>
      <c r="E32" s="453"/>
      <c r="F32" s="453"/>
      <c r="G32" s="31" t="s">
        <v>55</v>
      </c>
      <c r="H32" s="31" t="s">
        <v>56</v>
      </c>
      <c r="I32" s="31" t="s">
        <v>57</v>
      </c>
      <c r="M32" s="452" t="s">
        <v>52</v>
      </c>
      <c r="N32" s="462" t="s">
        <v>53</v>
      </c>
      <c r="O32" s="453" t="s">
        <v>151</v>
      </c>
      <c r="P32" s="453"/>
      <c r="Q32" s="453"/>
      <c r="R32" s="453"/>
      <c r="S32" s="31" t="s">
        <v>55</v>
      </c>
      <c r="T32" s="31" t="s">
        <v>56</v>
      </c>
      <c r="U32" s="31" t="s">
        <v>57</v>
      </c>
    </row>
    <row r="33" spans="1:228" ht="15.75">
      <c r="A33" s="452"/>
      <c r="B33" s="452"/>
      <c r="C33" s="453"/>
      <c r="D33" s="453"/>
      <c r="E33" s="453"/>
      <c r="F33" s="453"/>
      <c r="G33" s="31" t="s">
        <v>58</v>
      </c>
      <c r="H33" s="32" t="s">
        <v>59</v>
      </c>
      <c r="I33" s="32" t="s">
        <v>60</v>
      </c>
      <c r="M33" s="452"/>
      <c r="N33" s="452"/>
      <c r="O33" s="453"/>
      <c r="P33" s="453"/>
      <c r="Q33" s="453"/>
      <c r="R33" s="453"/>
      <c r="S33" s="31" t="s">
        <v>58</v>
      </c>
      <c r="T33" s="32" t="s">
        <v>59</v>
      </c>
      <c r="U33" s="32" t="s">
        <v>60</v>
      </c>
    </row>
    <row r="34" spans="1:228" ht="15.75">
      <c r="A34" s="243" t="s">
        <v>61</v>
      </c>
      <c r="B34" s="242" t="s">
        <v>62</v>
      </c>
      <c r="C34" s="541" t="s">
        <v>152</v>
      </c>
      <c r="D34" s="542"/>
      <c r="E34" s="542"/>
      <c r="F34" s="543"/>
      <c r="G34" s="246">
        <f>0.1925^2*0.7854*8.89*2368*1.01*1.01/10</f>
        <v>62.499791884897753</v>
      </c>
      <c r="H34" s="305">
        <f>(J34+1055)/1000/1.13+1.18</f>
        <v>92.379115044247811</v>
      </c>
      <c r="I34" s="59">
        <f>G34*H34</f>
        <v>5773.6754647765156</v>
      </c>
      <c r="J34" s="223" t="s">
        <v>199</v>
      </c>
      <c r="K34" s="240" t="b">
        <f>C34=O34</f>
        <v>1</v>
      </c>
      <c r="M34" s="243" t="s">
        <v>61</v>
      </c>
      <c r="N34" s="242" t="s">
        <v>62</v>
      </c>
      <c r="O34" s="541" t="s">
        <v>152</v>
      </c>
      <c r="P34" s="542"/>
      <c r="Q34" s="542"/>
      <c r="R34" s="543"/>
      <c r="S34" s="246">
        <f>0.1925^2*0.7854*8.89*2368*1.01*1.01/10</f>
        <v>62.499791884897753</v>
      </c>
      <c r="T34" s="305">
        <f>(V34+1055)/1000/1.13+1.18</f>
        <v>92.379115044247811</v>
      </c>
      <c r="U34" s="59">
        <f>S34*T34</f>
        <v>5773.6754647765156</v>
      </c>
      <c r="V34" s="114">
        <v>102000</v>
      </c>
    </row>
    <row r="35" spans="1:228" ht="15.75">
      <c r="A35" s="242">
        <v>2</v>
      </c>
      <c r="B35" s="242" t="s">
        <v>63</v>
      </c>
      <c r="C35" s="544" t="s">
        <v>245</v>
      </c>
      <c r="D35" s="542"/>
      <c r="E35" s="542"/>
      <c r="F35" s="543"/>
      <c r="G35" s="92">
        <f>(14.7^2-11.3^2*0.9)*0.7854*1.2/10</f>
        <v>9.5349759119999966</v>
      </c>
      <c r="H35" s="326">
        <f>28.0531+0.3</f>
        <v>28.353100000000001</v>
      </c>
      <c r="I35" s="59">
        <f>G35*H35</f>
        <v>270.3461255305271</v>
      </c>
      <c r="K35" s="240" t="b">
        <f>C35=O35</f>
        <v>0</v>
      </c>
      <c r="M35" s="242">
        <v>2</v>
      </c>
      <c r="N35" s="242" t="s">
        <v>63</v>
      </c>
      <c r="O35" s="544" t="s">
        <v>191</v>
      </c>
      <c r="P35" s="542"/>
      <c r="Q35" s="542"/>
      <c r="R35" s="543"/>
      <c r="S35" s="92">
        <f>(14.7^2-11.3^2*0.9)*0.7854*1.2/10</f>
        <v>9.5349759119999966</v>
      </c>
      <c r="T35" s="265">
        <f>29.2035+0.3</f>
        <v>29.503499999999999</v>
      </c>
      <c r="U35" s="59">
        <f>S35*T35</f>
        <v>281.31516181969187</v>
      </c>
    </row>
    <row r="36" spans="1:228" ht="15.75">
      <c r="A36" s="42" t="s">
        <v>69</v>
      </c>
      <c r="B36" s="43">
        <f>I36/100</f>
        <v>60.440215903070431</v>
      </c>
      <c r="C36" s="436" t="s">
        <v>70</v>
      </c>
      <c r="D36" s="436"/>
      <c r="E36" s="436"/>
      <c r="F36" s="436"/>
      <c r="G36" s="43">
        <f>SUM(G34:G35)/100</f>
        <v>0.72034767796897758</v>
      </c>
      <c r="H36" s="44" t="s">
        <v>71</v>
      </c>
      <c r="I36" s="60">
        <f>SUM(I34:I35)</f>
        <v>6044.021590307043</v>
      </c>
      <c r="J36" s="281">
        <f>B36/I46</f>
        <v>0.87643476786439967</v>
      </c>
      <c r="M36" s="42" t="s">
        <v>69</v>
      </c>
      <c r="N36" s="43">
        <f>U36/100</f>
        <v>60.549906265962072</v>
      </c>
      <c r="O36" s="436" t="s">
        <v>70</v>
      </c>
      <c r="P36" s="436"/>
      <c r="Q36" s="436"/>
      <c r="R36" s="436"/>
      <c r="S36" s="43">
        <f>SUM(S34:S35)/100</f>
        <v>0.72034767796897758</v>
      </c>
      <c r="T36" s="44" t="s">
        <v>71</v>
      </c>
      <c r="U36" s="60">
        <f>SUM(U34:U35)</f>
        <v>6054.9906265962072</v>
      </c>
      <c r="V36" s="237">
        <f>N36/U46</f>
        <v>0.86533798916824833</v>
      </c>
    </row>
    <row r="37" spans="1:228" ht="36">
      <c r="A37" s="249" t="s">
        <v>53</v>
      </c>
      <c r="B37" s="250" t="s">
        <v>72</v>
      </c>
      <c r="C37" s="250" t="s">
        <v>73</v>
      </c>
      <c r="D37" s="249" t="s">
        <v>74</v>
      </c>
      <c r="E37" s="249" t="s">
        <v>75</v>
      </c>
      <c r="F37" s="250" t="s">
        <v>76</v>
      </c>
      <c r="G37" s="250" t="s">
        <v>77</v>
      </c>
      <c r="H37" s="251" t="s">
        <v>78</v>
      </c>
      <c r="I37" s="249" t="s">
        <v>79</v>
      </c>
      <c r="M37" s="249" t="s">
        <v>53</v>
      </c>
      <c r="N37" s="250" t="s">
        <v>72</v>
      </c>
      <c r="O37" s="250" t="s">
        <v>73</v>
      </c>
      <c r="P37" s="249" t="s">
        <v>74</v>
      </c>
      <c r="Q37" s="249" t="s">
        <v>75</v>
      </c>
      <c r="R37" s="250" t="s">
        <v>76</v>
      </c>
      <c r="S37" s="250" t="s">
        <v>77</v>
      </c>
      <c r="T37" s="251" t="s">
        <v>78</v>
      </c>
      <c r="U37" s="249" t="s">
        <v>79</v>
      </c>
    </row>
    <row r="38" spans="1:228" ht="15.75">
      <c r="A38" s="242" t="s">
        <v>62</v>
      </c>
      <c r="B38" s="253">
        <f>1000/60/70*37</f>
        <v>8.8095238095238102</v>
      </c>
      <c r="C38" s="253">
        <v>0</v>
      </c>
      <c r="D38" s="254">
        <v>15</v>
      </c>
      <c r="E38" s="254">
        <f>B38*D38*G44/1000</f>
        <v>6607.1428571428578</v>
      </c>
      <c r="F38" s="255">
        <v>0.01</v>
      </c>
      <c r="G38" s="71">
        <v>0</v>
      </c>
      <c r="H38" s="256">
        <f>F38*I34</f>
        <v>57.73675464776516</v>
      </c>
      <c r="I38" s="254">
        <f>E38+H38*G42</f>
        <v>6664.8796117906231</v>
      </c>
      <c r="M38" s="242" t="s">
        <v>62</v>
      </c>
      <c r="N38" s="253">
        <f>1000/60/70*37</f>
        <v>8.8095238095238102</v>
      </c>
      <c r="O38" s="253">
        <v>0</v>
      </c>
      <c r="P38" s="254">
        <v>15</v>
      </c>
      <c r="Q38" s="254">
        <f>N38*P38*S44/1000</f>
        <v>1321.4285714285716</v>
      </c>
      <c r="R38" s="255">
        <v>0.01</v>
      </c>
      <c r="S38" s="71">
        <v>0</v>
      </c>
      <c r="T38" s="256">
        <f>R38*U34</f>
        <v>57.73675464776516</v>
      </c>
      <c r="U38" s="254">
        <f>Q38+T38*S42</f>
        <v>1379.1653260763367</v>
      </c>
    </row>
    <row r="39" spans="1:228" ht="15.75">
      <c r="A39" s="242" t="s">
        <v>62</v>
      </c>
      <c r="B39" s="270">
        <f>1000/3000*12</f>
        <v>4</v>
      </c>
      <c r="C39" s="253">
        <v>0</v>
      </c>
      <c r="D39" s="254">
        <v>60</v>
      </c>
      <c r="E39" s="254">
        <f>B39*D39*G44/1000</f>
        <v>12000</v>
      </c>
      <c r="F39" s="255">
        <v>0.01</v>
      </c>
      <c r="G39" s="71">
        <v>0</v>
      </c>
      <c r="H39" s="256">
        <f>F39*I34</f>
        <v>57.73675464776516</v>
      </c>
      <c r="I39" s="254">
        <f>E39+H39*G42</f>
        <v>12057.736754647765</v>
      </c>
      <c r="M39" s="242" t="s">
        <v>62</v>
      </c>
      <c r="N39" s="270">
        <f>1000/3000*12</f>
        <v>4</v>
      </c>
      <c r="O39" s="253">
        <v>0</v>
      </c>
      <c r="P39" s="254">
        <v>60</v>
      </c>
      <c r="Q39" s="254">
        <f>N39*P39*S44/1000</f>
        <v>2400</v>
      </c>
      <c r="R39" s="255">
        <v>0.01</v>
      </c>
      <c r="S39" s="71">
        <v>0</v>
      </c>
      <c r="T39" s="256">
        <f>R39*U34</f>
        <v>57.73675464776516</v>
      </c>
      <c r="U39" s="254">
        <f>Q39+T39*S42</f>
        <v>2457.7367546477653</v>
      </c>
    </row>
    <row r="40" spans="1:228" ht="15.75">
      <c r="A40" s="242" t="s">
        <v>63</v>
      </c>
      <c r="B40" s="252">
        <f>1000/60/15</f>
        <v>1.1111111111111112</v>
      </c>
      <c r="C40" s="253">
        <v>0</v>
      </c>
      <c r="D40" s="254">
        <v>300</v>
      </c>
      <c r="E40" s="254">
        <f>B40*D40*G44/1000</f>
        <v>16666.666666666668</v>
      </c>
      <c r="F40" s="255">
        <v>0.5</v>
      </c>
      <c r="G40" s="71">
        <v>2</v>
      </c>
      <c r="H40" s="256">
        <f>F40*(I34+I35)+G40*H35</f>
        <v>3078.7169951535216</v>
      </c>
      <c r="I40" s="254">
        <f>E40+H40*G40</f>
        <v>22824.100656973711</v>
      </c>
      <c r="M40" s="242" t="s">
        <v>63</v>
      </c>
      <c r="N40" s="252">
        <f>1000/60/15</f>
        <v>1.1111111111111112</v>
      </c>
      <c r="O40" s="253">
        <v>0</v>
      </c>
      <c r="P40" s="254">
        <v>300</v>
      </c>
      <c r="Q40" s="254">
        <f>N40*P40*S44/1000</f>
        <v>3333.3333333333335</v>
      </c>
      <c r="R40" s="255">
        <v>0.5</v>
      </c>
      <c r="S40" s="71">
        <v>2</v>
      </c>
      <c r="T40" s="256">
        <f>R40*(U34+U35)+S40*T35</f>
        <v>3086.5023132981037</v>
      </c>
      <c r="U40" s="254">
        <f>Q40+T40*S40</f>
        <v>9506.3379599295404</v>
      </c>
    </row>
    <row r="41" spans="1:228" ht="24">
      <c r="A41" s="534" t="s">
        <v>147</v>
      </c>
      <c r="B41" s="535"/>
      <c r="C41" s="257" t="s">
        <v>82</v>
      </c>
      <c r="D41" s="258" t="s">
        <v>83</v>
      </c>
      <c r="E41" s="258" t="s">
        <v>84</v>
      </c>
      <c r="F41" s="74" t="s">
        <v>85</v>
      </c>
      <c r="G41" s="75" t="s">
        <v>86</v>
      </c>
      <c r="H41" s="259" t="s">
        <v>87</v>
      </c>
      <c r="I41" s="260">
        <f>SUM(I38:I40)</f>
        <v>41546.7170234121</v>
      </c>
      <c r="M41" s="534" t="s">
        <v>147</v>
      </c>
      <c r="N41" s="535"/>
      <c r="O41" s="257" t="s">
        <v>82</v>
      </c>
      <c r="P41" s="258" t="s">
        <v>83</v>
      </c>
      <c r="Q41" s="258" t="s">
        <v>84</v>
      </c>
      <c r="R41" s="74" t="s">
        <v>85</v>
      </c>
      <c r="S41" s="75" t="s">
        <v>86</v>
      </c>
      <c r="T41" s="259" t="s">
        <v>87</v>
      </c>
      <c r="U41" s="260">
        <f>SUM(U38:U40)</f>
        <v>13343.240040653644</v>
      </c>
    </row>
    <row r="42" spans="1:228" ht="15">
      <c r="A42" s="536"/>
      <c r="B42" s="537"/>
      <c r="C42" s="261">
        <v>0</v>
      </c>
      <c r="D42" s="277">
        <v>0.79800000000000004</v>
      </c>
      <c r="E42" s="261">
        <v>0.24</v>
      </c>
      <c r="F42" s="193">
        <v>1.2999999999999999E-2</v>
      </c>
      <c r="G42" s="53">
        <v>1</v>
      </c>
      <c r="H42" s="540" t="s">
        <v>88</v>
      </c>
      <c r="I42" s="444" t="s">
        <v>89</v>
      </c>
      <c r="M42" s="536"/>
      <c r="N42" s="537"/>
      <c r="O42" s="57">
        <v>0</v>
      </c>
      <c r="P42" s="57">
        <v>1.2</v>
      </c>
      <c r="Q42" s="261">
        <v>0.24</v>
      </c>
      <c r="R42" s="193">
        <v>1.2999999999999999E-2</v>
      </c>
      <c r="S42" s="53">
        <v>1</v>
      </c>
      <c r="T42" s="540" t="s">
        <v>88</v>
      </c>
      <c r="U42" s="444" t="s">
        <v>89</v>
      </c>
    </row>
    <row r="43" spans="1:228" ht="24">
      <c r="A43" s="536"/>
      <c r="B43" s="537"/>
      <c r="C43" s="214" t="s">
        <v>105</v>
      </c>
      <c r="D43" s="278" t="s">
        <v>106</v>
      </c>
      <c r="E43" s="257" t="s">
        <v>90</v>
      </c>
      <c r="F43" s="262" t="s">
        <v>91</v>
      </c>
      <c r="G43" s="263" t="s">
        <v>92</v>
      </c>
      <c r="H43" s="540"/>
      <c r="I43" s="445"/>
      <c r="M43" s="536"/>
      <c r="N43" s="537"/>
      <c r="O43" s="81" t="s">
        <v>98</v>
      </c>
      <c r="P43" s="21" t="s">
        <v>106</v>
      </c>
      <c r="Q43" s="257" t="s">
        <v>90</v>
      </c>
      <c r="R43" s="262" t="s">
        <v>91</v>
      </c>
      <c r="S43" s="263" t="s">
        <v>92</v>
      </c>
      <c r="T43" s="540"/>
      <c r="U43" s="445"/>
    </row>
    <row r="44" spans="1:228" ht="18.75">
      <c r="A44" s="536"/>
      <c r="B44" s="537"/>
      <c r="C44" s="366">
        <f>220/2</f>
        <v>110</v>
      </c>
      <c r="D44" s="219">
        <v>5.04E-2</v>
      </c>
      <c r="E44" s="279">
        <v>0</v>
      </c>
      <c r="F44" s="147">
        <v>0</v>
      </c>
      <c r="G44" s="280">
        <v>50000</v>
      </c>
      <c r="H44" s="264">
        <f>I41/G44+B36+B36*F42</f>
        <v>62.056873050278583</v>
      </c>
      <c r="I44" s="266">
        <f>(H44/(1-D44)+C42+E42+E44/G44+C44/G44+C46*D46+D42*G36)*(1+F44)*(1+E46+F46)</f>
        <v>68.450359159026902</v>
      </c>
      <c r="M44" s="536"/>
      <c r="N44" s="537"/>
      <c r="O44" s="149">
        <f>200/2</f>
        <v>100</v>
      </c>
      <c r="P44" s="309">
        <v>5.0750000000000003E-2</v>
      </c>
      <c r="Q44" s="87">
        <v>0</v>
      </c>
      <c r="R44" s="159">
        <v>0</v>
      </c>
      <c r="S44" s="69">
        <v>10000</v>
      </c>
      <c r="T44" s="264">
        <f>U41/S44+N36+N36*R42</f>
        <v>62.671379051484948</v>
      </c>
      <c r="U44" s="266">
        <f>(T44/(1-P44)+O42+Q42+Q44/S44+O44/S44+O46*P46+P42*S36)*(1+R44)*(1+Q46+R46)</f>
        <v>69.45261875940453</v>
      </c>
    </row>
    <row r="45" spans="1:228">
      <c r="A45" s="536"/>
      <c r="B45" s="537"/>
      <c r="C45" s="51" t="s">
        <v>93</v>
      </c>
      <c r="D45" s="51" t="s">
        <v>94</v>
      </c>
      <c r="E45" s="214" t="s">
        <v>101</v>
      </c>
      <c r="F45" s="214" t="s">
        <v>102</v>
      </c>
      <c r="G45" s="214" t="s">
        <v>103</v>
      </c>
      <c r="H45" s="54" t="s">
        <v>95</v>
      </c>
      <c r="I45" s="267" t="s">
        <v>96</v>
      </c>
      <c r="J45" s="26" t="s">
        <v>241</v>
      </c>
      <c r="M45" s="536"/>
      <c r="N45" s="537"/>
      <c r="O45" s="51" t="s">
        <v>93</v>
      </c>
      <c r="P45" s="51" t="s">
        <v>94</v>
      </c>
      <c r="Q45" s="158" t="s">
        <v>101</v>
      </c>
      <c r="R45" s="158" t="s">
        <v>102</v>
      </c>
      <c r="S45" s="158" t="s">
        <v>103</v>
      </c>
      <c r="T45" s="54" t="s">
        <v>95</v>
      </c>
      <c r="U45" s="267" t="s">
        <v>96</v>
      </c>
      <c r="V45" s="223" t="s">
        <v>192</v>
      </c>
    </row>
    <row r="46" spans="1:228" ht="18.75">
      <c r="A46" s="538"/>
      <c r="B46" s="539"/>
      <c r="C46" s="55">
        <v>0</v>
      </c>
      <c r="D46" s="123">
        <v>0</v>
      </c>
      <c r="E46" s="144">
        <f>0.7%+0.5%</f>
        <v>1.2E-2</v>
      </c>
      <c r="F46" s="144">
        <f>0.25%*3+0.25%*6</f>
        <v>2.2499999999999999E-2</v>
      </c>
      <c r="G46" s="231">
        <v>0.15</v>
      </c>
      <c r="H46" s="264">
        <f>(H44+C42+E42+E44/G44+C44/G44+C46*D46+D42*G36)*(1+F44)*(1+E46+F46)</f>
        <v>65.043060409454597</v>
      </c>
      <c r="I46" s="266">
        <f>I44+(I44-H46)*G46</f>
        <v>68.961453971462745</v>
      </c>
      <c r="J46">
        <v>68.963977433628315</v>
      </c>
      <c r="K46" s="274">
        <f>I46/J46-1</f>
        <v>-3.6591018376164186E-5</v>
      </c>
      <c r="M46" s="538"/>
      <c r="N46" s="539"/>
      <c r="O46" s="55">
        <v>0</v>
      </c>
      <c r="P46" s="123">
        <v>0</v>
      </c>
      <c r="Q46" s="156">
        <f>0.7%+0.5%</f>
        <v>1.2E-2</v>
      </c>
      <c r="R46" s="156">
        <f>0.25%*3+0.25%*6</f>
        <v>2.2499999999999999E-2</v>
      </c>
      <c r="S46" s="155">
        <v>0.15</v>
      </c>
      <c r="T46" s="264">
        <f>(T44+O42+Q42+Q44/S44+O44/S44+O46*P46+P42*S36)*(1+R44)*(1+Q46+R46)</f>
        <v>65.986406236191868</v>
      </c>
      <c r="U46" s="266">
        <f>U44+(U44-T46)*S46</f>
        <v>69.972550637886428</v>
      </c>
      <c r="V46" s="201">
        <v>60.029180973451339</v>
      </c>
      <c r="W46" s="274">
        <f>U46/V46-1</f>
        <v>0.16564226769698331</v>
      </c>
    </row>
    <row r="47" spans="1:228" s="202" customFormat="1" ht="49.5">
      <c r="A47" s="203" t="s">
        <v>52</v>
      </c>
      <c r="B47" s="203" t="s">
        <v>107</v>
      </c>
      <c r="C47" s="203"/>
      <c r="D47" s="203" t="s">
        <v>128</v>
      </c>
      <c r="E47" s="204" t="s">
        <v>129</v>
      </c>
      <c r="F47" s="204" t="s">
        <v>130</v>
      </c>
      <c r="G47" s="204" t="s">
        <v>131</v>
      </c>
      <c r="H47" s="204" t="s">
        <v>132</v>
      </c>
      <c r="I47" s="204" t="s">
        <v>133</v>
      </c>
      <c r="J47" s="204" t="s">
        <v>134</v>
      </c>
      <c r="K47" s="293" t="s">
        <v>135</v>
      </c>
      <c r="L47" s="204" t="s">
        <v>2</v>
      </c>
      <c r="M47" s="211" t="s">
        <v>4</v>
      </c>
      <c r="N47" s="211" t="s">
        <v>5</v>
      </c>
    </row>
    <row r="48" spans="1:228" s="205" customFormat="1" ht="79.5" customHeight="1">
      <c r="A48" s="221" t="s">
        <v>258</v>
      </c>
      <c r="B48" s="222">
        <v>6010652</v>
      </c>
      <c r="C48" s="294" t="s">
        <v>193</v>
      </c>
      <c r="D48" s="294" t="s">
        <v>257</v>
      </c>
      <c r="E48" s="206">
        <v>631.02</v>
      </c>
      <c r="F48" s="207">
        <v>102</v>
      </c>
      <c r="G48" s="208">
        <f>F48/1.13</f>
        <v>90.26548672566372</v>
      </c>
      <c r="H48" s="209">
        <v>12004.65</v>
      </c>
      <c r="I48" s="295">
        <f>E48*G48+H48</f>
        <v>68963.977433628315</v>
      </c>
      <c r="J48" s="210">
        <f>I48/1000</f>
        <v>68.963977433628315</v>
      </c>
      <c r="K48" s="211"/>
      <c r="L48" s="211" t="s">
        <v>194</v>
      </c>
      <c r="M48" s="218">
        <v>5.0999999999999997E-2</v>
      </c>
      <c r="N48" s="218">
        <v>0.86099999999999999</v>
      </c>
      <c r="O48" s="296"/>
      <c r="P48" s="296">
        <f>O48-J48</f>
        <v>-68.963977433628315</v>
      </c>
      <c r="Q48" s="296">
        <f>P48*1000</f>
        <v>-68963.977433628315</v>
      </c>
      <c r="R48" s="202"/>
      <c r="S48" s="202"/>
      <c r="T48" s="202"/>
      <c r="U48" s="202"/>
      <c r="V48" s="202"/>
      <c r="W48" s="202"/>
      <c r="X48" s="202"/>
      <c r="Y48" s="202"/>
      <c r="Z48" s="202"/>
      <c r="AA48" s="202"/>
      <c r="AB48" s="202"/>
      <c r="AC48" s="202"/>
      <c r="AD48" s="202"/>
      <c r="AE48" s="202"/>
      <c r="AF48" s="202"/>
      <c r="AG48" s="202"/>
      <c r="AH48" s="202"/>
      <c r="AI48" s="202"/>
      <c r="AJ48" s="202"/>
      <c r="AK48" s="202"/>
      <c r="AL48" s="202"/>
      <c r="AM48" s="202"/>
      <c r="AN48" s="202"/>
      <c r="AO48" s="202"/>
      <c r="AP48" s="202"/>
      <c r="AQ48" s="202"/>
      <c r="AR48" s="202"/>
      <c r="AS48" s="202"/>
      <c r="AT48" s="202"/>
      <c r="AU48" s="202"/>
      <c r="AV48" s="202"/>
      <c r="AW48" s="202"/>
      <c r="AX48" s="202"/>
      <c r="AY48" s="202"/>
      <c r="AZ48" s="202"/>
      <c r="BA48" s="202"/>
      <c r="BB48" s="202"/>
      <c r="BC48" s="202"/>
      <c r="BD48" s="202"/>
      <c r="BE48" s="202"/>
      <c r="BF48" s="202"/>
      <c r="BG48" s="202"/>
      <c r="BH48" s="202"/>
      <c r="BI48" s="202"/>
      <c r="BJ48" s="202"/>
      <c r="BK48" s="202"/>
      <c r="BL48" s="202"/>
      <c r="BM48" s="202"/>
      <c r="BN48" s="202"/>
      <c r="BO48" s="202"/>
      <c r="BP48" s="202"/>
      <c r="BQ48" s="202"/>
      <c r="BR48" s="202"/>
      <c r="BS48" s="202"/>
      <c r="BT48" s="202"/>
      <c r="BU48" s="202"/>
      <c r="BV48" s="202"/>
      <c r="BW48" s="202"/>
      <c r="BX48" s="202"/>
      <c r="BY48" s="202"/>
      <c r="BZ48" s="202"/>
      <c r="CA48" s="202"/>
      <c r="CB48" s="202"/>
      <c r="CC48" s="202"/>
      <c r="CD48" s="202"/>
      <c r="CE48" s="202"/>
      <c r="CF48" s="202"/>
      <c r="CG48" s="202"/>
      <c r="CH48" s="202"/>
      <c r="CI48" s="202"/>
      <c r="CJ48" s="202"/>
      <c r="CK48" s="202"/>
      <c r="CL48" s="202"/>
      <c r="CM48" s="202"/>
      <c r="CN48" s="202"/>
      <c r="CO48" s="202"/>
      <c r="CP48" s="202"/>
      <c r="CQ48" s="202"/>
      <c r="CR48" s="202"/>
      <c r="CS48" s="202"/>
      <c r="CT48" s="202"/>
      <c r="CU48" s="202"/>
      <c r="CV48" s="202"/>
      <c r="CW48" s="202"/>
      <c r="CX48" s="202"/>
      <c r="CY48" s="202"/>
      <c r="CZ48" s="202"/>
      <c r="DA48" s="202"/>
      <c r="DB48" s="202"/>
      <c r="DC48" s="202"/>
      <c r="DD48" s="202"/>
      <c r="DE48" s="202"/>
      <c r="DF48" s="202"/>
      <c r="DG48" s="202"/>
      <c r="DH48" s="202"/>
      <c r="DI48" s="202"/>
      <c r="DJ48" s="202"/>
      <c r="DK48" s="202"/>
      <c r="DL48" s="202"/>
      <c r="DM48" s="202"/>
      <c r="DN48" s="202"/>
      <c r="DO48" s="202"/>
      <c r="DP48" s="202"/>
      <c r="DQ48" s="202"/>
      <c r="DR48" s="202"/>
      <c r="DS48" s="202"/>
      <c r="DT48" s="202"/>
      <c r="DU48" s="202"/>
      <c r="DV48" s="202"/>
      <c r="DW48" s="202"/>
      <c r="DX48" s="202"/>
      <c r="DY48" s="202"/>
      <c r="DZ48" s="202"/>
      <c r="EA48" s="202"/>
      <c r="EB48" s="202"/>
      <c r="EC48" s="202"/>
      <c r="ED48" s="202"/>
      <c r="EE48" s="202"/>
      <c r="EF48" s="202"/>
      <c r="EG48" s="202"/>
      <c r="EH48" s="202"/>
      <c r="EI48" s="202"/>
      <c r="EJ48" s="202"/>
      <c r="EK48" s="202"/>
      <c r="EL48" s="202"/>
      <c r="EM48" s="202"/>
      <c r="EN48" s="202"/>
      <c r="EO48" s="202"/>
      <c r="EP48" s="202"/>
      <c r="EQ48" s="202"/>
      <c r="ER48" s="202"/>
      <c r="ES48" s="202"/>
      <c r="ET48" s="202"/>
      <c r="EU48" s="202"/>
      <c r="EV48" s="202"/>
      <c r="EW48" s="202"/>
      <c r="EX48" s="202"/>
      <c r="EY48" s="202"/>
      <c r="EZ48" s="202"/>
      <c r="FA48" s="202"/>
      <c r="FB48" s="202"/>
      <c r="FC48" s="202"/>
      <c r="FD48" s="202"/>
      <c r="FE48" s="202"/>
      <c r="FF48" s="202"/>
      <c r="FG48" s="202"/>
      <c r="FH48" s="202"/>
      <c r="FI48" s="202"/>
      <c r="FJ48" s="202"/>
      <c r="FK48" s="202"/>
      <c r="FL48" s="202"/>
      <c r="FM48" s="202"/>
      <c r="FN48" s="202"/>
      <c r="FO48" s="202"/>
      <c r="FP48" s="202"/>
      <c r="FQ48" s="202"/>
      <c r="FR48" s="202"/>
      <c r="FS48" s="202"/>
      <c r="FT48" s="202"/>
      <c r="FU48" s="202"/>
      <c r="FV48" s="202"/>
      <c r="FW48" s="202"/>
      <c r="FX48" s="202"/>
      <c r="FY48" s="202"/>
      <c r="FZ48" s="202"/>
      <c r="GA48" s="202"/>
      <c r="GB48" s="202"/>
      <c r="GC48" s="202"/>
      <c r="GD48" s="202"/>
      <c r="GE48" s="202"/>
      <c r="GF48" s="202"/>
      <c r="GG48" s="202"/>
      <c r="GH48" s="202"/>
      <c r="GI48" s="202"/>
      <c r="GJ48" s="202"/>
      <c r="GK48" s="202"/>
      <c r="GL48" s="202"/>
      <c r="GM48" s="202"/>
      <c r="GN48" s="202"/>
      <c r="GO48" s="202"/>
      <c r="GP48" s="202"/>
      <c r="GQ48" s="202"/>
      <c r="GR48" s="202"/>
      <c r="GS48" s="202"/>
      <c r="GT48" s="202"/>
      <c r="GU48" s="202"/>
      <c r="GV48" s="202"/>
      <c r="GW48" s="202"/>
      <c r="GX48" s="202"/>
      <c r="GY48" s="202"/>
      <c r="GZ48" s="202"/>
      <c r="HA48" s="202"/>
      <c r="HB48" s="202"/>
      <c r="HC48" s="202"/>
      <c r="HD48" s="202"/>
      <c r="HE48" s="202"/>
      <c r="HF48" s="202"/>
      <c r="HG48" s="202"/>
      <c r="HH48" s="202"/>
      <c r="HI48" s="202"/>
      <c r="HJ48" s="202"/>
      <c r="HK48" s="202"/>
      <c r="HL48" s="202"/>
      <c r="HM48" s="202"/>
      <c r="HN48" s="202"/>
      <c r="HO48" s="202"/>
      <c r="HP48" s="202"/>
      <c r="HQ48" s="202"/>
      <c r="HR48" s="202"/>
      <c r="HS48" s="202"/>
      <c r="HT48" s="202"/>
    </row>
    <row r="49" spans="1:24" ht="25.5">
      <c r="A49" s="446" t="s">
        <v>165</v>
      </c>
      <c r="B49" s="446"/>
      <c r="C49" s="446"/>
      <c r="D49" s="446"/>
      <c r="E49" s="446"/>
      <c r="F49" s="446"/>
      <c r="G49" s="446"/>
      <c r="H49" s="446"/>
      <c r="I49" s="446"/>
      <c r="M49" s="446" t="s">
        <v>143</v>
      </c>
      <c r="N49" s="446"/>
      <c r="O49" s="446"/>
      <c r="P49" s="446"/>
      <c r="Q49" s="446"/>
      <c r="R49" s="446"/>
      <c r="S49" s="446"/>
      <c r="T49" s="446"/>
      <c r="U49" s="446"/>
      <c r="V49" s="268"/>
      <c r="W49" s="268"/>
      <c r="X49" s="268"/>
    </row>
    <row r="50" spans="1:24" ht="25.5">
      <c r="A50" s="28"/>
      <c r="B50" s="28"/>
      <c r="C50" s="28"/>
      <c r="D50" s="28"/>
      <c r="E50" s="29"/>
      <c r="F50" s="30"/>
      <c r="G50" s="30"/>
      <c r="H50" s="30" t="s">
        <v>47</v>
      </c>
      <c r="I50" s="58" t="s">
        <v>232</v>
      </c>
      <c r="M50" s="28"/>
      <c r="N50" s="28"/>
      <c r="O50" s="28"/>
      <c r="P50" s="28"/>
      <c r="Q50" s="29"/>
      <c r="R50" s="30"/>
      <c r="S50" s="30"/>
      <c r="T50" s="30" t="s">
        <v>47</v>
      </c>
      <c r="U50" s="58" t="s">
        <v>232</v>
      </c>
      <c r="V50" s="268"/>
      <c r="W50" s="268"/>
      <c r="X50" s="268"/>
    </row>
    <row r="51" spans="1:24">
      <c r="A51" s="31" t="s">
        <v>48</v>
      </c>
      <c r="B51" s="453" t="s">
        <v>233</v>
      </c>
      <c r="C51" s="453"/>
      <c r="D51" s="453"/>
      <c r="E51" s="453"/>
      <c r="F51" s="453"/>
      <c r="G51" s="31" t="s">
        <v>49</v>
      </c>
      <c r="H51" s="447" t="s">
        <v>242</v>
      </c>
      <c r="I51" s="447"/>
      <c r="M51" s="31" t="s">
        <v>48</v>
      </c>
      <c r="N51" s="453" t="s">
        <v>233</v>
      </c>
      <c r="O51" s="453"/>
      <c r="P51" s="453"/>
      <c r="Q51" s="453"/>
      <c r="R51" s="453"/>
      <c r="S51" s="31" t="s">
        <v>49</v>
      </c>
      <c r="T51" s="447" t="s">
        <v>228</v>
      </c>
      <c r="U51" s="447"/>
      <c r="V51" s="268"/>
      <c r="W51" s="268"/>
      <c r="X51" s="268"/>
    </row>
    <row r="52" spans="1:24">
      <c r="A52" s="31" t="s">
        <v>50</v>
      </c>
      <c r="B52" s="448" t="s">
        <v>234</v>
      </c>
      <c r="C52" s="449"/>
      <c r="D52" s="449"/>
      <c r="E52" s="449"/>
      <c r="F52" s="450"/>
      <c r="G52" s="31" t="s">
        <v>51</v>
      </c>
      <c r="H52" s="451" t="s">
        <v>259</v>
      </c>
      <c r="I52" s="451"/>
      <c r="M52" s="31" t="s">
        <v>50</v>
      </c>
      <c r="N52" s="448" t="s">
        <v>234</v>
      </c>
      <c r="O52" s="449"/>
      <c r="P52" s="449"/>
      <c r="Q52" s="449"/>
      <c r="R52" s="450"/>
      <c r="S52" s="31" t="s">
        <v>51</v>
      </c>
      <c r="T52" s="451" t="s">
        <v>235</v>
      </c>
      <c r="U52" s="451"/>
      <c r="V52" s="268"/>
      <c r="W52" s="268"/>
      <c r="X52" s="268"/>
    </row>
    <row r="53" spans="1:24">
      <c r="A53" s="452" t="s">
        <v>52</v>
      </c>
      <c r="B53" s="462" t="s">
        <v>53</v>
      </c>
      <c r="C53" s="453" t="s">
        <v>54</v>
      </c>
      <c r="D53" s="453"/>
      <c r="E53" s="453"/>
      <c r="F53" s="453"/>
      <c r="G53" s="31" t="s">
        <v>55</v>
      </c>
      <c r="H53" s="31" t="s">
        <v>56</v>
      </c>
      <c r="I53" s="31" t="s">
        <v>57</v>
      </c>
      <c r="M53" s="452" t="s">
        <v>52</v>
      </c>
      <c r="N53" s="462" t="s">
        <v>53</v>
      </c>
      <c r="O53" s="453" t="s">
        <v>54</v>
      </c>
      <c r="P53" s="453"/>
      <c r="Q53" s="453"/>
      <c r="R53" s="453"/>
      <c r="S53" s="31" t="s">
        <v>55</v>
      </c>
      <c r="T53" s="31" t="s">
        <v>56</v>
      </c>
      <c r="U53" s="31" t="s">
        <v>57</v>
      </c>
      <c r="V53" s="268"/>
      <c r="W53" s="268"/>
      <c r="X53" s="268"/>
    </row>
    <row r="54" spans="1:24" ht="15.75">
      <c r="A54" s="452"/>
      <c r="B54" s="452"/>
      <c r="C54" s="453"/>
      <c r="D54" s="453"/>
      <c r="E54" s="453"/>
      <c r="F54" s="453"/>
      <c r="G54" s="31" t="s">
        <v>58</v>
      </c>
      <c r="H54" s="32" t="s">
        <v>59</v>
      </c>
      <c r="I54" s="32" t="s">
        <v>60</v>
      </c>
      <c r="M54" s="452"/>
      <c r="N54" s="452"/>
      <c r="O54" s="453"/>
      <c r="P54" s="453"/>
      <c r="Q54" s="453"/>
      <c r="R54" s="453"/>
      <c r="S54" s="31" t="s">
        <v>58</v>
      </c>
      <c r="T54" s="32" t="s">
        <v>59</v>
      </c>
      <c r="U54" s="32" t="s">
        <v>60</v>
      </c>
      <c r="V54" s="268"/>
      <c r="W54" s="269" t="s">
        <v>127</v>
      </c>
      <c r="X54" s="268"/>
    </row>
    <row r="55" spans="1:24" ht="15.75">
      <c r="A55" s="33" t="s">
        <v>61</v>
      </c>
      <c r="B55" s="34" t="s">
        <v>62</v>
      </c>
      <c r="C55" s="433" t="s">
        <v>236</v>
      </c>
      <c r="D55" s="434"/>
      <c r="E55" s="434"/>
      <c r="F55" s="435"/>
      <c r="G55" s="35">
        <f>0.1935^2*0.7854*8.89*3056*1.015*1.012/10</f>
        <v>82.064343821590825</v>
      </c>
      <c r="H55" s="305">
        <f>(J55+1055)/1000/1.13+1.18</f>
        <v>92.379115044247811</v>
      </c>
      <c r="I55" s="220">
        <f>G55*H55</f>
        <v>7581.0314589254458</v>
      </c>
      <c r="J55" s="223" t="s">
        <v>199</v>
      </c>
      <c r="K55" s="240" t="b">
        <f>C55=O55</f>
        <v>1</v>
      </c>
      <c r="M55" s="33" t="s">
        <v>61</v>
      </c>
      <c r="N55" s="34" t="s">
        <v>62</v>
      </c>
      <c r="O55" s="433" t="s">
        <v>236</v>
      </c>
      <c r="P55" s="434"/>
      <c r="Q55" s="434"/>
      <c r="R55" s="435"/>
      <c r="S55" s="35">
        <f>0.1935^2*0.7854*8.89*3056*1.015*1.012/10</f>
        <v>82.064343821590825</v>
      </c>
      <c r="T55" s="64">
        <f>(V55+1055)/1000/1.13+1.18</f>
        <v>92.379115044247811</v>
      </c>
      <c r="U55" s="220">
        <f>S55*T55</f>
        <v>7581.0314589254458</v>
      </c>
      <c r="V55" s="268">
        <v>102000</v>
      </c>
      <c r="W55" s="369">
        <f>S55*10</f>
        <v>820.64343821590819</v>
      </c>
      <c r="X55" s="268"/>
    </row>
    <row r="56" spans="1:24" ht="17.25">
      <c r="A56" s="34">
        <v>2</v>
      </c>
      <c r="B56" s="34" t="s">
        <v>63</v>
      </c>
      <c r="C56" s="433" t="s">
        <v>254</v>
      </c>
      <c r="D56" s="434"/>
      <c r="E56" s="434"/>
      <c r="F56" s="435"/>
      <c r="G56" s="36">
        <f>(16.9^2-13.5^2*0.9)*0.7854*1.35/10</f>
        <v>12.891535964999994</v>
      </c>
      <c r="H56" s="68">
        <v>12.83</v>
      </c>
      <c r="I56" s="220">
        <f>G56*H56</f>
        <v>165.39840643094993</v>
      </c>
      <c r="K56" s="240" t="b">
        <f>C56=O56</f>
        <v>1</v>
      </c>
      <c r="M56" s="34">
        <v>2</v>
      </c>
      <c r="N56" s="34" t="s">
        <v>63</v>
      </c>
      <c r="O56" s="433" t="s">
        <v>237</v>
      </c>
      <c r="P56" s="434"/>
      <c r="Q56" s="434"/>
      <c r="R56" s="435"/>
      <c r="S56" s="36">
        <f>(16.9^2-13.5^2*0.9)*0.7854*1.35/10</f>
        <v>12.891535964999994</v>
      </c>
      <c r="T56" s="354">
        <v>12.83</v>
      </c>
      <c r="U56" s="220">
        <f>S56*T56</f>
        <v>165.39840643094993</v>
      </c>
      <c r="V56" s="268"/>
      <c r="W56" s="268"/>
      <c r="X56" s="268"/>
    </row>
    <row r="57" spans="1:24" ht="15.75">
      <c r="A57" s="42" t="s">
        <v>69</v>
      </c>
      <c r="B57" s="43">
        <f>I57/100</f>
        <v>77.464298653563958</v>
      </c>
      <c r="C57" s="436" t="s">
        <v>70</v>
      </c>
      <c r="D57" s="436"/>
      <c r="E57" s="436"/>
      <c r="F57" s="436"/>
      <c r="G57" s="43">
        <f>SUM(G55:G56)/100</f>
        <v>0.94955879786590813</v>
      </c>
      <c r="H57" s="44" t="s">
        <v>71</v>
      </c>
      <c r="I57" s="220">
        <f>SUM(I55:I56)</f>
        <v>7746.4298653563956</v>
      </c>
      <c r="J57" s="281">
        <f>B57/I67</f>
        <v>0.86650637366416949</v>
      </c>
      <c r="M57" s="42" t="s">
        <v>69</v>
      </c>
      <c r="N57" s="43">
        <f>U57/100</f>
        <v>77.464298653563958</v>
      </c>
      <c r="O57" s="436" t="s">
        <v>70</v>
      </c>
      <c r="P57" s="436"/>
      <c r="Q57" s="436"/>
      <c r="R57" s="436"/>
      <c r="S57" s="43">
        <f>SUM(S55:S56)/100</f>
        <v>0.94955879786590813</v>
      </c>
      <c r="T57" s="44" t="s">
        <v>71</v>
      </c>
      <c r="U57" s="220">
        <f>SUM(U55:U56)</f>
        <v>7746.4298653563956</v>
      </c>
      <c r="V57" s="281" t="e">
        <f>N57*1/$I$378</f>
        <v>#DIV/0!</v>
      </c>
      <c r="W57" s="268"/>
      <c r="X57" s="268"/>
    </row>
    <row r="58" spans="1:24" ht="36">
      <c r="A58" s="45" t="s">
        <v>53</v>
      </c>
      <c r="B58" s="46" t="s">
        <v>72</v>
      </c>
      <c r="C58" s="46" t="s">
        <v>73</v>
      </c>
      <c r="D58" s="45" t="s">
        <v>74</v>
      </c>
      <c r="E58" s="45" t="s">
        <v>75</v>
      </c>
      <c r="F58" s="46" t="s">
        <v>76</v>
      </c>
      <c r="G58" s="46" t="s">
        <v>77</v>
      </c>
      <c r="H58" s="47" t="s">
        <v>78</v>
      </c>
      <c r="I58" s="45" t="s">
        <v>79</v>
      </c>
      <c r="M58" s="45" t="s">
        <v>53</v>
      </c>
      <c r="N58" s="46" t="s">
        <v>72</v>
      </c>
      <c r="O58" s="46" t="s">
        <v>73</v>
      </c>
      <c r="P58" s="45" t="s">
        <v>74</v>
      </c>
      <c r="Q58" s="45" t="s">
        <v>75</v>
      </c>
      <c r="R58" s="46" t="s">
        <v>76</v>
      </c>
      <c r="S58" s="46" t="s">
        <v>77</v>
      </c>
      <c r="T58" s="47" t="s">
        <v>78</v>
      </c>
      <c r="U58" s="45" t="s">
        <v>79</v>
      </c>
      <c r="V58" s="268"/>
      <c r="W58" s="268"/>
      <c r="X58" s="268"/>
    </row>
    <row r="59" spans="1:24" ht="15.75">
      <c r="A59" s="34" t="s">
        <v>62</v>
      </c>
      <c r="B59" s="241">
        <f>1000/60/70*37</f>
        <v>8.8095238095238102</v>
      </c>
      <c r="C59" s="48">
        <v>0</v>
      </c>
      <c r="D59" s="70">
        <v>20</v>
      </c>
      <c r="E59" s="70">
        <f>B59*D59*G65/1000+C59*D59*G63</f>
        <v>8809.5238095238092</v>
      </c>
      <c r="F59" s="49">
        <v>0.05</v>
      </c>
      <c r="G59" s="50">
        <v>0</v>
      </c>
      <c r="H59" s="15">
        <f>F59*I55</f>
        <v>379.0515729462723</v>
      </c>
      <c r="I59" s="13">
        <f>E59+H59*G63</f>
        <v>9188.5753824700823</v>
      </c>
      <c r="M59" s="34" t="s">
        <v>62</v>
      </c>
      <c r="N59" s="241">
        <f>1000/60/70*37</f>
        <v>8.8095238095238102</v>
      </c>
      <c r="O59" s="48">
        <v>0</v>
      </c>
      <c r="P59" s="70">
        <v>20</v>
      </c>
      <c r="Q59" s="70">
        <f>N59*P59*S65/1000+O59*P59*S63</f>
        <v>8809.5238095238092</v>
      </c>
      <c r="R59" s="49">
        <v>0.05</v>
      </c>
      <c r="S59" s="50">
        <v>0</v>
      </c>
      <c r="T59" s="15">
        <f>R59*U55</f>
        <v>379.0515729462723</v>
      </c>
      <c r="U59" s="13">
        <f>Q59+T59*S63</f>
        <v>9188.5753824700823</v>
      </c>
      <c r="V59" s="268"/>
      <c r="W59" s="268"/>
      <c r="X59" s="268"/>
    </row>
    <row r="60" spans="1:24" ht="15.75">
      <c r="A60" s="34" t="s">
        <v>62</v>
      </c>
      <c r="B60" s="241">
        <f>1000/3000*12</f>
        <v>4</v>
      </c>
      <c r="C60" s="48">
        <v>0</v>
      </c>
      <c r="D60" s="70">
        <v>60</v>
      </c>
      <c r="E60" s="70">
        <f>B60*D60*G65/1000+C60*D60*G63</f>
        <v>12000</v>
      </c>
      <c r="F60" s="49">
        <v>0.05</v>
      </c>
      <c r="G60" s="50">
        <v>0</v>
      </c>
      <c r="H60" s="15">
        <f>F60*I55</f>
        <v>379.0515729462723</v>
      </c>
      <c r="I60" s="13">
        <f>E60+H60*G63</f>
        <v>12379.051572946273</v>
      </c>
      <c r="M60" s="34" t="s">
        <v>62</v>
      </c>
      <c r="N60" s="241">
        <f>1000/3000*12</f>
        <v>4</v>
      </c>
      <c r="O60" s="48">
        <v>0</v>
      </c>
      <c r="P60" s="70">
        <v>60</v>
      </c>
      <c r="Q60" s="70">
        <f>N60*P60*S65/1000+O60*P60*S63</f>
        <v>12000</v>
      </c>
      <c r="R60" s="49">
        <v>0.05</v>
      </c>
      <c r="S60" s="50">
        <v>0</v>
      </c>
      <c r="T60" s="15">
        <f>R60*U55</f>
        <v>379.0515729462723</v>
      </c>
      <c r="U60" s="13">
        <f>Q60+T60*S63</f>
        <v>12379.051572946273</v>
      </c>
      <c r="V60" s="268"/>
      <c r="W60" s="268"/>
      <c r="X60" s="268"/>
    </row>
    <row r="61" spans="1:24" ht="15.75">
      <c r="A61" s="34" t="s">
        <v>63</v>
      </c>
      <c r="B61" s="241">
        <f>1000/60/15</f>
        <v>1.1111111111111112</v>
      </c>
      <c r="C61" s="48">
        <v>0</v>
      </c>
      <c r="D61" s="70">
        <v>150</v>
      </c>
      <c r="E61" s="70">
        <f>B61*D61*G65/1000+C61*D61*G63</f>
        <v>8333.3333333333339</v>
      </c>
      <c r="F61" s="49">
        <v>0.5</v>
      </c>
      <c r="G61" s="50">
        <v>2</v>
      </c>
      <c r="H61" s="15">
        <f>F61*(I55+I56)+G61*H56</f>
        <v>3898.8749326781976</v>
      </c>
      <c r="I61" s="13">
        <f>E61+H61*G63</f>
        <v>12232.208266011532</v>
      </c>
      <c r="M61" s="34" t="s">
        <v>63</v>
      </c>
      <c r="N61" s="241">
        <f>1000/60/15</f>
        <v>1.1111111111111112</v>
      </c>
      <c r="O61" s="48">
        <v>0</v>
      </c>
      <c r="P61" s="70">
        <v>150</v>
      </c>
      <c r="Q61" s="70">
        <f>N61*P61*S65/1000+O61*P61*S63</f>
        <v>8333.3333333333339</v>
      </c>
      <c r="R61" s="49">
        <v>0.5</v>
      </c>
      <c r="S61" s="50">
        <v>2</v>
      </c>
      <c r="T61" s="15">
        <f>R61*(U55+U56)+S61*T56</f>
        <v>3898.8749326781976</v>
      </c>
      <c r="U61" s="13">
        <f>Q61+T61*S63</f>
        <v>12232.208266011532</v>
      </c>
      <c r="V61" s="268"/>
      <c r="W61" s="268"/>
      <c r="X61" s="268"/>
    </row>
    <row r="62" spans="1:24" ht="24">
      <c r="A62" s="437" t="s">
        <v>238</v>
      </c>
      <c r="B62" s="438"/>
      <c r="C62" s="16" t="s">
        <v>82</v>
      </c>
      <c r="D62" s="16" t="s">
        <v>83</v>
      </c>
      <c r="E62" s="16" t="s">
        <v>84</v>
      </c>
      <c r="F62" s="51" t="s">
        <v>85</v>
      </c>
      <c r="G62" s="52" t="s">
        <v>86</v>
      </c>
      <c r="H62" s="19" t="s">
        <v>87</v>
      </c>
      <c r="I62" s="283">
        <f>SUM(I59:I61)</f>
        <v>33799.835221427886</v>
      </c>
      <c r="M62" s="437" t="s">
        <v>238</v>
      </c>
      <c r="N62" s="438"/>
      <c r="O62" s="16" t="s">
        <v>82</v>
      </c>
      <c r="P62" s="16" t="s">
        <v>83</v>
      </c>
      <c r="Q62" s="16" t="s">
        <v>84</v>
      </c>
      <c r="R62" s="51" t="s">
        <v>85</v>
      </c>
      <c r="S62" s="52" t="s">
        <v>86</v>
      </c>
      <c r="T62" s="19" t="s">
        <v>87</v>
      </c>
      <c r="U62" s="283">
        <f>SUM(U59:U61)</f>
        <v>33799.835221427886</v>
      </c>
      <c r="V62" s="268"/>
      <c r="W62" s="268"/>
      <c r="X62" s="268"/>
    </row>
    <row r="63" spans="1:24" ht="15">
      <c r="A63" s="439"/>
      <c r="B63" s="440"/>
      <c r="C63" s="261">
        <v>0</v>
      </c>
      <c r="D63" s="277">
        <v>0.79800000000000004</v>
      </c>
      <c r="E63" s="20">
        <v>0.4</v>
      </c>
      <c r="F63" s="193">
        <v>1.2999999999999999E-2</v>
      </c>
      <c r="G63" s="53">
        <v>1</v>
      </c>
      <c r="H63" s="466" t="s">
        <v>88</v>
      </c>
      <c r="I63" s="467" t="s">
        <v>89</v>
      </c>
      <c r="M63" s="439"/>
      <c r="N63" s="440"/>
      <c r="O63" s="57">
        <v>0</v>
      </c>
      <c r="P63" s="57">
        <v>0.79800000000000004</v>
      </c>
      <c r="Q63" s="20">
        <v>0.4</v>
      </c>
      <c r="R63" s="193">
        <v>1.2999999999999999E-2</v>
      </c>
      <c r="S63" s="53">
        <v>1</v>
      </c>
      <c r="T63" s="466" t="s">
        <v>88</v>
      </c>
      <c r="U63" s="467" t="s">
        <v>89</v>
      </c>
      <c r="V63" s="268"/>
      <c r="W63" s="268"/>
      <c r="X63" s="268"/>
    </row>
    <row r="64" spans="1:24" ht="24">
      <c r="A64" s="439"/>
      <c r="B64" s="440"/>
      <c r="C64" s="214" t="s">
        <v>105</v>
      </c>
      <c r="D64" s="278" t="s">
        <v>106</v>
      </c>
      <c r="E64" s="16" t="s">
        <v>90</v>
      </c>
      <c r="F64" s="19" t="s">
        <v>91</v>
      </c>
      <c r="G64" s="22" t="s">
        <v>92</v>
      </c>
      <c r="H64" s="466"/>
      <c r="I64" s="468"/>
      <c r="M64" s="439"/>
      <c r="N64" s="440"/>
      <c r="O64" s="52" t="s">
        <v>229</v>
      </c>
      <c r="P64" s="21" t="s">
        <v>106</v>
      </c>
      <c r="Q64" s="16" t="s">
        <v>90</v>
      </c>
      <c r="R64" s="19" t="s">
        <v>91</v>
      </c>
      <c r="S64" s="22" t="s">
        <v>92</v>
      </c>
      <c r="T64" s="466"/>
      <c r="U64" s="468"/>
      <c r="V64" s="268"/>
      <c r="W64" s="268"/>
      <c r="X64" s="268"/>
    </row>
    <row r="65" spans="1:231" ht="18.75">
      <c r="A65" s="439"/>
      <c r="B65" s="440"/>
      <c r="C65" s="366">
        <f>220/2</f>
        <v>110</v>
      </c>
      <c r="D65" s="219">
        <v>0.06</v>
      </c>
      <c r="E65" s="279">
        <v>0</v>
      </c>
      <c r="F65" s="147">
        <v>0</v>
      </c>
      <c r="G65" s="280">
        <v>50000</v>
      </c>
      <c r="H65" s="23">
        <f>I62/G65+B57+B57*F63</f>
        <v>79.147331240488839</v>
      </c>
      <c r="I65" s="266">
        <f>(H65/(1-D65)+C63+E63+E65/G65+C65/G65+C67*D67+D63*G57)*(1+F65)*(1+E67+F67)</f>
        <v>88.61448013277564</v>
      </c>
      <c r="M65" s="439"/>
      <c r="N65" s="440"/>
      <c r="O65" s="381">
        <f>220/2</f>
        <v>110</v>
      </c>
      <c r="P65" s="231">
        <v>0.06</v>
      </c>
      <c r="Q65" s="87">
        <v>0</v>
      </c>
      <c r="R65" s="147">
        <v>0</v>
      </c>
      <c r="S65" s="69">
        <v>50000</v>
      </c>
      <c r="T65" s="23">
        <f>U62/S65+N57+N57*R63</f>
        <v>79.147331240488839</v>
      </c>
      <c r="U65" s="379">
        <f>(T65/(1-P65)+O63+Q63+Q65/S65+O65/S65+O67*P67+P63*S57)*(1+R65)*(1+Q67+R67)</f>
        <v>88.61448013277564</v>
      </c>
      <c r="V65" s="268"/>
      <c r="W65" s="268"/>
      <c r="X65" s="268"/>
    </row>
    <row r="66" spans="1:231">
      <c r="A66" s="439"/>
      <c r="B66" s="440"/>
      <c r="C66" s="51" t="s">
        <v>93</v>
      </c>
      <c r="D66" s="51" t="s">
        <v>94</v>
      </c>
      <c r="E66" s="214" t="s">
        <v>101</v>
      </c>
      <c r="F66" s="214" t="s">
        <v>102</v>
      </c>
      <c r="G66" s="214" t="s">
        <v>103</v>
      </c>
      <c r="H66" s="54" t="s">
        <v>95</v>
      </c>
      <c r="I66" s="267" t="s">
        <v>96</v>
      </c>
      <c r="J66" s="26" t="s">
        <v>241</v>
      </c>
      <c r="M66" s="439"/>
      <c r="N66" s="440"/>
      <c r="O66" s="51" t="s">
        <v>93</v>
      </c>
      <c r="P66" s="51" t="s">
        <v>94</v>
      </c>
      <c r="Q66" s="52" t="s">
        <v>101</v>
      </c>
      <c r="R66" s="52" t="s">
        <v>102</v>
      </c>
      <c r="S66" s="52" t="s">
        <v>103</v>
      </c>
      <c r="T66" s="54" t="s">
        <v>95</v>
      </c>
      <c r="U66" s="378" t="s">
        <v>96</v>
      </c>
      <c r="V66" s="268"/>
      <c r="W66" s="268"/>
      <c r="X66" s="268"/>
    </row>
    <row r="67" spans="1:231" ht="18.75">
      <c r="A67" s="441"/>
      <c r="B67" s="442"/>
      <c r="C67" s="55">
        <v>1</v>
      </c>
      <c r="D67" s="123">
        <v>0.3</v>
      </c>
      <c r="E67" s="144">
        <f>0.7%+0.5%</f>
        <v>1.2E-2</v>
      </c>
      <c r="F67" s="144">
        <f>0.25%*3+0.25%*6</f>
        <v>2.2499999999999999E-2</v>
      </c>
      <c r="G67" s="231">
        <v>0.15</v>
      </c>
      <c r="H67" s="23">
        <f>(H65+C63+E63+E65/G65+C65/G65+C67*D67+D63*G57)*(1+F65)*(1+E67+F67)</f>
        <v>83.388230292246746</v>
      </c>
      <c r="I67" s="266">
        <f>I65+(I65-H67)*G67</f>
        <v>89.39841760885497</v>
      </c>
      <c r="J67">
        <v>89.39841760885497</v>
      </c>
      <c r="K67" s="274">
        <f>I67/J67-1</f>
        <v>0</v>
      </c>
      <c r="M67" s="441"/>
      <c r="N67" s="442"/>
      <c r="O67" s="55">
        <v>1</v>
      </c>
      <c r="P67" s="123">
        <v>0.3</v>
      </c>
      <c r="Q67" s="231">
        <f>0.7%+0.5%</f>
        <v>1.2E-2</v>
      </c>
      <c r="R67" s="380">
        <f>0.25%*3+0.25%*6</f>
        <v>2.2499999999999999E-2</v>
      </c>
      <c r="S67" s="231">
        <v>0.15</v>
      </c>
      <c r="T67" s="23">
        <f>(T65+O63+Q63+Q65/S65+O65/S65+O67*P67+P63*S57)*(1+R65)*(1+Q67+R67)</f>
        <v>83.388230292246746</v>
      </c>
      <c r="U67" s="379">
        <f>U65+(U65-T67)*S67</f>
        <v>89.39841760885497</v>
      </c>
      <c r="V67" s="268"/>
      <c r="W67" s="268"/>
      <c r="X67" s="268"/>
    </row>
    <row r="68" spans="1:231" s="202" customFormat="1" ht="66">
      <c r="A68" s="203" t="s">
        <v>52</v>
      </c>
      <c r="B68" s="203" t="s">
        <v>107</v>
      </c>
      <c r="C68" s="203"/>
      <c r="D68" s="203" t="s">
        <v>128</v>
      </c>
      <c r="E68" s="204" t="s">
        <v>129</v>
      </c>
      <c r="F68" s="204" t="s">
        <v>130</v>
      </c>
      <c r="G68" s="204" t="s">
        <v>131</v>
      </c>
      <c r="H68" s="204" t="s">
        <v>261</v>
      </c>
      <c r="I68" s="204" t="s">
        <v>262</v>
      </c>
      <c r="J68" s="204" t="s">
        <v>263</v>
      </c>
      <c r="K68" s="204" t="s">
        <v>132</v>
      </c>
      <c r="L68" s="204" t="s">
        <v>133</v>
      </c>
      <c r="M68" s="204" t="s">
        <v>134</v>
      </c>
      <c r="N68" s="293" t="s">
        <v>135</v>
      </c>
      <c r="O68" s="204" t="s">
        <v>2</v>
      </c>
      <c r="P68" s="211" t="s">
        <v>4</v>
      </c>
      <c r="Q68" s="211" t="s">
        <v>5</v>
      </c>
    </row>
    <row r="69" spans="1:231" s="205" customFormat="1" ht="134.25" customHeight="1">
      <c r="A69" s="221" t="s">
        <v>264</v>
      </c>
      <c r="B69" s="222"/>
      <c r="C69" s="294" t="s">
        <v>260</v>
      </c>
      <c r="D69" s="297" t="s">
        <v>230</v>
      </c>
      <c r="E69" s="206">
        <v>820.64</v>
      </c>
      <c r="F69" s="207">
        <v>102</v>
      </c>
      <c r="G69" s="208">
        <f t="shared" ref="G69" si="1">F69/1.13</f>
        <v>90.26548672566372</v>
      </c>
      <c r="H69" s="217">
        <v>0</v>
      </c>
      <c r="I69" s="207">
        <v>26</v>
      </c>
      <c r="J69" s="208">
        <f t="shared" ref="J69" si="2">I69/1.13</f>
        <v>23.008849557522126</v>
      </c>
      <c r="K69" s="209">
        <v>15322.948582306295</v>
      </c>
      <c r="L69" s="295">
        <f t="shared" ref="L69" si="3">E69*G69+H69*J69+K69</f>
        <v>89398.417608854972</v>
      </c>
      <c r="M69" s="210">
        <f t="shared" ref="M69" si="4">L69/1000</f>
        <v>89.39841760885497</v>
      </c>
      <c r="N69" s="211" t="s">
        <v>187</v>
      </c>
      <c r="O69" s="211" t="s">
        <v>232</v>
      </c>
      <c r="P69" s="218">
        <v>0.06</v>
      </c>
      <c r="Q69" s="218">
        <v>0.86650637366416949</v>
      </c>
      <c r="R69" s="296">
        <v>89.39841760885497</v>
      </c>
      <c r="S69" s="296">
        <f t="shared" ref="S69" si="5">R69-M69</f>
        <v>0</v>
      </c>
      <c r="T69" s="296">
        <f t="shared" ref="T69" si="6">S69*1000</f>
        <v>0</v>
      </c>
      <c r="U69" s="202"/>
      <c r="V69" s="202"/>
      <c r="W69" s="202"/>
      <c r="X69" s="202"/>
      <c r="Y69" s="202"/>
      <c r="Z69" s="202"/>
      <c r="AA69" s="202"/>
      <c r="AB69" s="202"/>
      <c r="AC69" s="202"/>
      <c r="AD69" s="202"/>
      <c r="AE69" s="202"/>
      <c r="AF69" s="202"/>
      <c r="AG69" s="202"/>
      <c r="AH69" s="202"/>
      <c r="AI69" s="202"/>
      <c r="AJ69" s="202"/>
      <c r="AK69" s="202"/>
      <c r="AL69" s="202"/>
      <c r="AM69" s="202"/>
      <c r="AN69" s="202"/>
      <c r="AO69" s="202"/>
      <c r="AP69" s="202"/>
      <c r="AQ69" s="202"/>
      <c r="AR69" s="202"/>
      <c r="AS69" s="202"/>
      <c r="AT69" s="202"/>
      <c r="AU69" s="202"/>
      <c r="AV69" s="202"/>
      <c r="AW69" s="202"/>
      <c r="AX69" s="202"/>
      <c r="AY69" s="202"/>
      <c r="AZ69" s="202"/>
      <c r="BA69" s="202"/>
      <c r="BB69" s="202"/>
      <c r="BC69" s="202"/>
      <c r="BD69" s="202"/>
      <c r="BE69" s="202"/>
      <c r="BF69" s="202"/>
      <c r="BG69" s="202"/>
      <c r="BH69" s="202"/>
      <c r="BI69" s="202"/>
      <c r="BJ69" s="202"/>
      <c r="BK69" s="202"/>
      <c r="BL69" s="202"/>
      <c r="BM69" s="202"/>
      <c r="BN69" s="202"/>
      <c r="BO69" s="202"/>
      <c r="BP69" s="202"/>
      <c r="BQ69" s="202"/>
      <c r="BR69" s="202"/>
      <c r="BS69" s="202"/>
      <c r="BT69" s="202"/>
      <c r="BU69" s="202"/>
      <c r="BV69" s="202"/>
      <c r="BW69" s="202"/>
      <c r="BX69" s="202"/>
      <c r="BY69" s="202"/>
      <c r="BZ69" s="202"/>
      <c r="CA69" s="202"/>
      <c r="CB69" s="202"/>
      <c r="CC69" s="202"/>
      <c r="CD69" s="202"/>
      <c r="CE69" s="202"/>
      <c r="CF69" s="202"/>
      <c r="CG69" s="202"/>
      <c r="CH69" s="202"/>
      <c r="CI69" s="202"/>
      <c r="CJ69" s="202"/>
      <c r="CK69" s="202"/>
      <c r="CL69" s="202"/>
      <c r="CM69" s="202"/>
      <c r="CN69" s="202"/>
      <c r="CO69" s="202"/>
      <c r="CP69" s="202"/>
      <c r="CQ69" s="202"/>
      <c r="CR69" s="202"/>
      <c r="CS69" s="202"/>
      <c r="CT69" s="202"/>
      <c r="CU69" s="202"/>
      <c r="CV69" s="202"/>
      <c r="CW69" s="202"/>
      <c r="CX69" s="202"/>
      <c r="CY69" s="202"/>
      <c r="CZ69" s="202"/>
      <c r="DA69" s="202"/>
      <c r="DB69" s="202"/>
      <c r="DC69" s="202"/>
      <c r="DD69" s="202"/>
      <c r="DE69" s="202"/>
      <c r="DF69" s="202"/>
      <c r="DG69" s="202"/>
      <c r="DH69" s="202"/>
      <c r="DI69" s="202"/>
      <c r="DJ69" s="202"/>
      <c r="DK69" s="202"/>
      <c r="DL69" s="202"/>
      <c r="DM69" s="202"/>
      <c r="DN69" s="202"/>
      <c r="DO69" s="202"/>
      <c r="DP69" s="202"/>
      <c r="DQ69" s="202"/>
      <c r="DR69" s="202"/>
      <c r="DS69" s="202"/>
      <c r="DT69" s="202"/>
      <c r="DU69" s="202"/>
      <c r="DV69" s="202"/>
      <c r="DW69" s="202"/>
      <c r="DX69" s="202"/>
      <c r="DY69" s="202"/>
      <c r="DZ69" s="202"/>
      <c r="EA69" s="202"/>
      <c r="EB69" s="202"/>
      <c r="EC69" s="202"/>
      <c r="ED69" s="202"/>
      <c r="EE69" s="202"/>
      <c r="EF69" s="202"/>
      <c r="EG69" s="202"/>
      <c r="EH69" s="202"/>
      <c r="EI69" s="202"/>
      <c r="EJ69" s="202"/>
      <c r="EK69" s="202"/>
      <c r="EL69" s="202"/>
      <c r="EM69" s="202"/>
      <c r="EN69" s="202"/>
      <c r="EO69" s="202"/>
      <c r="EP69" s="202"/>
      <c r="EQ69" s="202"/>
      <c r="ER69" s="202"/>
      <c r="ES69" s="202"/>
      <c r="ET69" s="202"/>
      <c r="EU69" s="202"/>
      <c r="EV69" s="202"/>
      <c r="EW69" s="202"/>
      <c r="EX69" s="202"/>
      <c r="EY69" s="202"/>
      <c r="EZ69" s="202"/>
      <c r="FA69" s="202"/>
      <c r="FB69" s="202"/>
      <c r="FC69" s="202"/>
      <c r="FD69" s="202"/>
      <c r="FE69" s="202"/>
      <c r="FF69" s="202"/>
      <c r="FG69" s="202"/>
      <c r="FH69" s="202"/>
      <c r="FI69" s="202"/>
      <c r="FJ69" s="202"/>
      <c r="FK69" s="202"/>
      <c r="FL69" s="202"/>
      <c r="FM69" s="202"/>
      <c r="FN69" s="202"/>
      <c r="FO69" s="202"/>
      <c r="FP69" s="202"/>
      <c r="FQ69" s="202"/>
      <c r="FR69" s="202"/>
      <c r="FS69" s="202"/>
      <c r="FT69" s="202"/>
      <c r="FU69" s="202"/>
      <c r="FV69" s="202"/>
      <c r="FW69" s="202"/>
      <c r="FX69" s="202"/>
      <c r="FY69" s="202"/>
      <c r="FZ69" s="202"/>
      <c r="GA69" s="202"/>
      <c r="GB69" s="202"/>
      <c r="GC69" s="202"/>
      <c r="GD69" s="202"/>
      <c r="GE69" s="202"/>
      <c r="GF69" s="202"/>
      <c r="GG69" s="202"/>
      <c r="GH69" s="202"/>
      <c r="GI69" s="202"/>
      <c r="GJ69" s="202"/>
      <c r="GK69" s="202"/>
      <c r="GL69" s="202"/>
      <c r="GM69" s="202"/>
      <c r="GN69" s="202"/>
      <c r="GO69" s="202"/>
      <c r="GP69" s="202"/>
      <c r="GQ69" s="202"/>
      <c r="GR69" s="202"/>
      <c r="GS69" s="202"/>
      <c r="GT69" s="202"/>
      <c r="GU69" s="202"/>
      <c r="GV69" s="202"/>
      <c r="GW69" s="202"/>
      <c r="GX69" s="202"/>
      <c r="GY69" s="202"/>
      <c r="GZ69" s="202"/>
      <c r="HA69" s="202"/>
      <c r="HB69" s="202"/>
      <c r="HC69" s="202"/>
      <c r="HD69" s="202"/>
      <c r="HE69" s="202"/>
      <c r="HF69" s="202"/>
      <c r="HG69" s="202"/>
      <c r="HH69" s="202"/>
      <c r="HI69" s="202"/>
      <c r="HJ69" s="202"/>
      <c r="HK69" s="202"/>
      <c r="HL69" s="202"/>
      <c r="HM69" s="202"/>
      <c r="HN69" s="202"/>
      <c r="HO69" s="202"/>
      <c r="HP69" s="202"/>
      <c r="HQ69" s="202"/>
      <c r="HR69" s="202"/>
      <c r="HS69" s="202"/>
      <c r="HT69" s="202"/>
      <c r="HU69" s="202"/>
      <c r="HV69" s="202"/>
      <c r="HW69" s="202"/>
    </row>
    <row r="70" spans="1:231" ht="25.5">
      <c r="A70" s="595" t="s">
        <v>164</v>
      </c>
      <c r="B70" s="595"/>
      <c r="C70" s="595"/>
      <c r="D70" s="595"/>
      <c r="E70" s="595"/>
      <c r="F70" s="595"/>
      <c r="G70" s="595"/>
      <c r="H70" s="595"/>
      <c r="I70" s="595"/>
    </row>
    <row r="71" spans="1:231" ht="25.5">
      <c r="A71" s="382"/>
      <c r="B71" s="382"/>
      <c r="C71" s="382"/>
      <c r="D71" s="382"/>
      <c r="E71" s="383"/>
      <c r="F71" s="384"/>
      <c r="G71" s="384"/>
      <c r="H71" s="384" t="s">
        <v>47</v>
      </c>
      <c r="I71" s="385" t="s">
        <v>246</v>
      </c>
    </row>
    <row r="72" spans="1:231">
      <c r="A72" s="386" t="s">
        <v>48</v>
      </c>
      <c r="B72" s="587" t="s">
        <v>247</v>
      </c>
      <c r="C72" s="587"/>
      <c r="D72" s="587"/>
      <c r="E72" s="587"/>
      <c r="F72" s="587"/>
      <c r="G72" s="386" t="s">
        <v>49</v>
      </c>
      <c r="H72" s="588" t="s">
        <v>242</v>
      </c>
      <c r="I72" s="588"/>
    </row>
    <row r="73" spans="1:231">
      <c r="A73" s="386" t="s">
        <v>50</v>
      </c>
      <c r="B73" s="589" t="s">
        <v>248</v>
      </c>
      <c r="C73" s="590"/>
      <c r="D73" s="590"/>
      <c r="E73" s="590"/>
      <c r="F73" s="591"/>
      <c r="G73" s="386" t="s">
        <v>51</v>
      </c>
      <c r="H73" s="592" t="s">
        <v>249</v>
      </c>
      <c r="I73" s="592"/>
    </row>
    <row r="74" spans="1:231">
      <c r="A74" s="593" t="s">
        <v>52</v>
      </c>
      <c r="B74" s="594" t="s">
        <v>53</v>
      </c>
      <c r="C74" s="587" t="s">
        <v>250</v>
      </c>
      <c r="D74" s="587"/>
      <c r="E74" s="587"/>
      <c r="F74" s="587"/>
      <c r="G74" s="386" t="s">
        <v>55</v>
      </c>
      <c r="H74" s="386" t="s">
        <v>56</v>
      </c>
      <c r="I74" s="386" t="s">
        <v>57</v>
      </c>
    </row>
    <row r="75" spans="1:231" ht="15.75">
      <c r="A75" s="593"/>
      <c r="B75" s="593"/>
      <c r="C75" s="587"/>
      <c r="D75" s="587"/>
      <c r="E75" s="587"/>
      <c r="F75" s="587"/>
      <c r="G75" s="386" t="s">
        <v>58</v>
      </c>
      <c r="H75" s="387" t="s">
        <v>59</v>
      </c>
      <c r="I75" s="387" t="s">
        <v>60</v>
      </c>
    </row>
    <row r="76" spans="1:231" ht="15.75">
      <c r="A76" s="243" t="s">
        <v>61</v>
      </c>
      <c r="B76" s="242" t="s">
        <v>62</v>
      </c>
      <c r="C76" s="541" t="s">
        <v>251</v>
      </c>
      <c r="D76" s="542"/>
      <c r="E76" s="542"/>
      <c r="F76" s="543"/>
      <c r="G76" s="246">
        <f>0.1935^2*0.7854*8.89*3056*1.012*1.015/10</f>
        <v>82.064343821590825</v>
      </c>
      <c r="H76" s="305">
        <f>(J76+1055)/1000/1.13+1.15</f>
        <v>92.34911504424781</v>
      </c>
      <c r="I76" s="388">
        <f>G76*H76</f>
        <v>7578.5695286107984</v>
      </c>
      <c r="J76" s="223" t="s">
        <v>199</v>
      </c>
    </row>
    <row r="77" spans="1:231" ht="15.75">
      <c r="A77" s="242">
        <v>2</v>
      </c>
      <c r="B77" s="242" t="s">
        <v>63</v>
      </c>
      <c r="C77" s="544" t="s">
        <v>252</v>
      </c>
      <c r="D77" s="542"/>
      <c r="E77" s="542"/>
      <c r="F77" s="543"/>
      <c r="G77" s="298">
        <f>(16.9^2-13.5^2*0.9)*0.7854*1.2/10</f>
        <v>11.459143079999993</v>
      </c>
      <c r="H77" s="265">
        <f>28.0531+0.3</f>
        <v>28.353100000000001</v>
      </c>
      <c r="I77" s="388">
        <f>G77*H77</f>
        <v>324.90222966154784</v>
      </c>
    </row>
    <row r="78" spans="1:231" ht="15.75">
      <c r="A78" s="389" t="s">
        <v>69</v>
      </c>
      <c r="B78" s="390">
        <f>I78/100</f>
        <v>79.034717582723459</v>
      </c>
      <c r="C78" s="584" t="s">
        <v>70</v>
      </c>
      <c r="D78" s="584"/>
      <c r="E78" s="584"/>
      <c r="F78" s="584"/>
      <c r="G78" s="390">
        <f>SUM(G76:G77)/100</f>
        <v>0.93523486901590813</v>
      </c>
      <c r="H78" s="391" t="s">
        <v>71</v>
      </c>
      <c r="I78" s="392">
        <f>SUM(I76:I77)</f>
        <v>7903.4717582723461</v>
      </c>
      <c r="J78" s="281">
        <f>B78/I88</f>
        <v>0.8642095838898225</v>
      </c>
    </row>
    <row r="79" spans="1:231" ht="36">
      <c r="A79" s="249" t="s">
        <v>53</v>
      </c>
      <c r="B79" s="250" t="s">
        <v>72</v>
      </c>
      <c r="C79" s="250" t="s">
        <v>73</v>
      </c>
      <c r="D79" s="249" t="s">
        <v>74</v>
      </c>
      <c r="E79" s="249" t="s">
        <v>75</v>
      </c>
      <c r="F79" s="250" t="s">
        <v>76</v>
      </c>
      <c r="G79" s="250" t="s">
        <v>77</v>
      </c>
      <c r="H79" s="251" t="s">
        <v>78</v>
      </c>
      <c r="I79" s="249" t="s">
        <v>79</v>
      </c>
    </row>
    <row r="80" spans="1:231" ht="15.75">
      <c r="A80" s="242" t="s">
        <v>62</v>
      </c>
      <c r="B80" s="241">
        <f>1000/50000*12*37</f>
        <v>8.879999999999999</v>
      </c>
      <c r="C80" s="253">
        <v>0</v>
      </c>
      <c r="D80" s="254">
        <v>20</v>
      </c>
      <c r="E80" s="254">
        <f>B80*D80*G86/1000</f>
        <v>8879.9999999999982</v>
      </c>
      <c r="F80" s="255">
        <v>0.01</v>
      </c>
      <c r="G80" s="393">
        <v>0</v>
      </c>
      <c r="H80" s="256">
        <f>F80*I76</f>
        <v>75.78569528610798</v>
      </c>
      <c r="I80" s="254">
        <f>E80+H80*G84</f>
        <v>8955.7856952861057</v>
      </c>
    </row>
    <row r="81" spans="1:10" ht="15.75">
      <c r="A81" s="242" t="s">
        <v>62</v>
      </c>
      <c r="B81" s="241">
        <f>1000/1800*12</f>
        <v>6.666666666666667</v>
      </c>
      <c r="C81" s="253">
        <v>0</v>
      </c>
      <c r="D81" s="254">
        <v>60</v>
      </c>
      <c r="E81" s="254">
        <f>B81*D81*G86/1000</f>
        <v>20000</v>
      </c>
      <c r="F81" s="255">
        <v>0.01</v>
      </c>
      <c r="G81" s="393">
        <v>0</v>
      </c>
      <c r="H81" s="256">
        <f>F81*I76</f>
        <v>75.78569528610798</v>
      </c>
      <c r="I81" s="254">
        <f>E81+H81*G84</f>
        <v>20075.785695286108</v>
      </c>
    </row>
    <row r="82" spans="1:10" ht="15.75">
      <c r="A82" s="242" t="s">
        <v>63</v>
      </c>
      <c r="B82" s="252">
        <f>1000/60/10</f>
        <v>1.6666666666666667</v>
      </c>
      <c r="C82" s="253">
        <v>0</v>
      </c>
      <c r="D82" s="254">
        <v>300</v>
      </c>
      <c r="E82" s="254">
        <f>B82*D82*G86/1000</f>
        <v>25000</v>
      </c>
      <c r="F82" s="255">
        <v>0.5</v>
      </c>
      <c r="G82" s="393">
        <v>2</v>
      </c>
      <c r="H82" s="256">
        <f>F82*(I76+I77)+G82*H77</f>
        <v>4008.4420791361731</v>
      </c>
      <c r="I82" s="254">
        <f>E82+H82*G84</f>
        <v>29008.442079136174</v>
      </c>
    </row>
    <row r="83" spans="1:10" ht="24">
      <c r="A83" s="534" t="s">
        <v>253</v>
      </c>
      <c r="B83" s="535"/>
      <c r="C83" s="257" t="s">
        <v>82</v>
      </c>
      <c r="D83" s="258" t="s">
        <v>83</v>
      </c>
      <c r="E83" s="258" t="s">
        <v>84</v>
      </c>
      <c r="F83" s="394" t="s">
        <v>85</v>
      </c>
      <c r="G83" s="395" t="s">
        <v>86</v>
      </c>
      <c r="H83" s="259" t="s">
        <v>87</v>
      </c>
      <c r="I83" s="260">
        <f>SUM(I80:I82)</f>
        <v>58040.013469708385</v>
      </c>
    </row>
    <row r="84" spans="1:10" ht="15">
      <c r="A84" s="536"/>
      <c r="B84" s="537"/>
      <c r="C84" s="261">
        <v>0</v>
      </c>
      <c r="D84" s="277">
        <v>0.79800000000000004</v>
      </c>
      <c r="E84" s="261">
        <v>0.3</v>
      </c>
      <c r="F84" s="325">
        <v>1.4999999999999999E-2</v>
      </c>
      <c r="G84" s="396">
        <v>1</v>
      </c>
      <c r="H84" s="548" t="s">
        <v>88</v>
      </c>
      <c r="I84" s="585" t="s">
        <v>89</v>
      </c>
    </row>
    <row r="85" spans="1:10" ht="24">
      <c r="A85" s="536"/>
      <c r="B85" s="537"/>
      <c r="C85" s="214" t="s">
        <v>105</v>
      </c>
      <c r="D85" s="278" t="s">
        <v>106</v>
      </c>
      <c r="E85" s="257" t="s">
        <v>90</v>
      </c>
      <c r="F85" s="262" t="s">
        <v>91</v>
      </c>
      <c r="G85" s="263" t="s">
        <v>92</v>
      </c>
      <c r="H85" s="548"/>
      <c r="I85" s="586"/>
    </row>
    <row r="86" spans="1:10" ht="18.75">
      <c r="A86" s="536"/>
      <c r="B86" s="537"/>
      <c r="C86" s="366">
        <f>220/2</f>
        <v>110</v>
      </c>
      <c r="D86" s="219">
        <v>0.06</v>
      </c>
      <c r="E86" s="279">
        <v>0</v>
      </c>
      <c r="F86" s="147">
        <v>0</v>
      </c>
      <c r="G86" s="280">
        <v>50000</v>
      </c>
      <c r="H86" s="264">
        <f>I83/G86+B78+B78*F84</f>
        <v>81.381038615858486</v>
      </c>
      <c r="I86" s="266">
        <f>(H86/(1-D86)+C84+E84+E86/G86+C86/G86+C88*D88+D84*G78)*(1+F86)*(1+E88+F88)</f>
        <v>90.64712154059572</v>
      </c>
    </row>
    <row r="87" spans="1:10">
      <c r="A87" s="536"/>
      <c r="B87" s="537"/>
      <c r="C87" s="397" t="s">
        <v>93</v>
      </c>
      <c r="D87" s="397" t="s">
        <v>94</v>
      </c>
      <c r="E87" s="214" t="s">
        <v>101</v>
      </c>
      <c r="F87" s="214" t="s">
        <v>102</v>
      </c>
      <c r="G87" s="214" t="s">
        <v>103</v>
      </c>
      <c r="H87" s="398" t="s">
        <v>95</v>
      </c>
      <c r="I87" s="267" t="s">
        <v>96</v>
      </c>
    </row>
    <row r="88" spans="1:10" ht="18.75">
      <c r="A88" s="538"/>
      <c r="B88" s="539"/>
      <c r="C88" s="399">
        <v>0</v>
      </c>
      <c r="D88" s="25">
        <v>0</v>
      </c>
      <c r="E88" s="144">
        <f>0.7%+0.5%</f>
        <v>1.2E-2</v>
      </c>
      <c r="F88" s="144">
        <f>0.25%*3+0.25%*6</f>
        <v>2.2499999999999999E-2</v>
      </c>
      <c r="G88" s="231">
        <v>0.15</v>
      </c>
      <c r="H88" s="264">
        <f>(H86+C84+E84+E86/G86+C86/G86+C88*D88+D84*G78)*(1+F86)*(1+E88+F88)</f>
        <v>85.273375724759177</v>
      </c>
      <c r="I88" s="266">
        <f>I86+(I86-H88)*G88</f>
        <v>91.4531834129712</v>
      </c>
    </row>
    <row r="91" spans="1:10">
      <c r="I91" s="276"/>
      <c r="J91" s="240"/>
    </row>
    <row r="92" spans="1:10">
      <c r="I92" s="276"/>
      <c r="J92" s="240"/>
    </row>
    <row r="93" spans="1:10">
      <c r="I93" s="223"/>
      <c r="J93" s="240"/>
    </row>
    <row r="94" spans="1:10">
      <c r="I94" s="276"/>
      <c r="J94" s="240"/>
    </row>
  </sheetData>
  <mergeCells count="103">
    <mergeCell ref="U63:U64"/>
    <mergeCell ref="O55:R55"/>
    <mergeCell ref="O56:R56"/>
    <mergeCell ref="O57:R57"/>
    <mergeCell ref="M62:N67"/>
    <mergeCell ref="T63:T64"/>
    <mergeCell ref="N51:R51"/>
    <mergeCell ref="T51:U51"/>
    <mergeCell ref="N52:R52"/>
    <mergeCell ref="T52:U52"/>
    <mergeCell ref="M53:M54"/>
    <mergeCell ref="N53:N54"/>
    <mergeCell ref="O53:R54"/>
    <mergeCell ref="O36:R36"/>
    <mergeCell ref="M41:N46"/>
    <mergeCell ref="T42:T43"/>
    <mergeCell ref="U42:U43"/>
    <mergeCell ref="M49:U49"/>
    <mergeCell ref="M32:M33"/>
    <mergeCell ref="N32:N33"/>
    <mergeCell ref="O32:R33"/>
    <mergeCell ref="O34:R34"/>
    <mergeCell ref="O35:R35"/>
    <mergeCell ref="M28:U28"/>
    <mergeCell ref="V28:W29"/>
    <mergeCell ref="N30:R30"/>
    <mergeCell ref="T30:U30"/>
    <mergeCell ref="N31:R31"/>
    <mergeCell ref="T31:U31"/>
    <mergeCell ref="O11:R11"/>
    <mergeCell ref="O12:R12"/>
    <mergeCell ref="M20:N25"/>
    <mergeCell ref="T21:T22"/>
    <mergeCell ref="U21:U22"/>
    <mergeCell ref="M5:M6"/>
    <mergeCell ref="N5:N6"/>
    <mergeCell ref="O5:R6"/>
    <mergeCell ref="O7:R7"/>
    <mergeCell ref="O8:R8"/>
    <mergeCell ref="M1:U1"/>
    <mergeCell ref="V1:W2"/>
    <mergeCell ref="N3:R3"/>
    <mergeCell ref="T3:U3"/>
    <mergeCell ref="N4:R4"/>
    <mergeCell ref="T4:U4"/>
    <mergeCell ref="J1:K2"/>
    <mergeCell ref="C76:F76"/>
    <mergeCell ref="C77:F77"/>
    <mergeCell ref="C78:F78"/>
    <mergeCell ref="A83:B88"/>
    <mergeCell ref="H84:H85"/>
    <mergeCell ref="I84:I85"/>
    <mergeCell ref="B72:F72"/>
    <mergeCell ref="H72:I72"/>
    <mergeCell ref="B73:F73"/>
    <mergeCell ref="H73:I73"/>
    <mergeCell ref="A74:A75"/>
    <mergeCell ref="B74:B75"/>
    <mergeCell ref="C74:F75"/>
    <mergeCell ref="C56:F56"/>
    <mergeCell ref="C57:F57"/>
    <mergeCell ref="A62:B67"/>
    <mergeCell ref="H63:H64"/>
    <mergeCell ref="I63:I64"/>
    <mergeCell ref="A70:I70"/>
    <mergeCell ref="B52:F52"/>
    <mergeCell ref="H52:I52"/>
    <mergeCell ref="A53:A54"/>
    <mergeCell ref="B53:B54"/>
    <mergeCell ref="C32:F33"/>
    <mergeCell ref="C53:F54"/>
    <mergeCell ref="C55:F55"/>
    <mergeCell ref="A41:B46"/>
    <mergeCell ref="H42:H43"/>
    <mergeCell ref="I42:I43"/>
    <mergeCell ref="A49:I49"/>
    <mergeCell ref="B51:F51"/>
    <mergeCell ref="H51:I51"/>
    <mergeCell ref="C36:F36"/>
    <mergeCell ref="A1:I1"/>
    <mergeCell ref="B3:F3"/>
    <mergeCell ref="H3:I3"/>
    <mergeCell ref="B4:F4"/>
    <mergeCell ref="H4:I4"/>
    <mergeCell ref="C34:F34"/>
    <mergeCell ref="C35:F35"/>
    <mergeCell ref="C7:F7"/>
    <mergeCell ref="C8:F8"/>
    <mergeCell ref="C11:F11"/>
    <mergeCell ref="C12:F12"/>
    <mergeCell ref="A20:B25"/>
    <mergeCell ref="A5:A6"/>
    <mergeCell ref="B5:B6"/>
    <mergeCell ref="C5:F6"/>
    <mergeCell ref="I21:I22"/>
    <mergeCell ref="A28:I28"/>
    <mergeCell ref="B30:F30"/>
    <mergeCell ref="H30:I30"/>
    <mergeCell ref="B31:F31"/>
    <mergeCell ref="H31:I31"/>
    <mergeCell ref="H21:H22"/>
    <mergeCell ref="A32:A33"/>
    <mergeCell ref="B32:B33"/>
  </mergeCells>
  <phoneticPr fontId="7" type="noConversion"/>
  <conditionalFormatting sqref="I27:L27">
    <cfRule type="expression" dxfId="8" priority="14">
      <formula>AND(I27=#REF!,I27&lt;&gt;"",I27&lt;&gt;0)</formula>
    </cfRule>
  </conditionalFormatting>
  <conditionalFormatting sqref="I48:L48">
    <cfRule type="expression" dxfId="7" priority="5">
      <formula>AND(I48=#REF!,I48&lt;&gt;"",I48&lt;&gt;0)</formula>
    </cfRule>
  </conditionalFormatting>
  <conditionalFormatting sqref="L69:O69">
    <cfRule type="expression" dxfId="6" priority="1">
      <formula>AND(L69=#REF!,L69&lt;&gt;"",L69&lt;&gt;0)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414F-EA82-4C93-8DAB-B79DD15E4ADD}">
  <sheetPr codeName="Sheet150"/>
  <dimension ref="A1:L19"/>
  <sheetViews>
    <sheetView workbookViewId="0">
      <selection activeCell="T27" sqref="T27"/>
    </sheetView>
  </sheetViews>
  <sheetFormatPr defaultRowHeight="14.25"/>
  <cols>
    <col min="8" max="8" width="11.125" bestFit="1" customWidth="1"/>
    <col min="9" max="9" width="13.25" customWidth="1"/>
  </cols>
  <sheetData>
    <row r="1" spans="1:12" s="65" customFormat="1" ht="25.5">
      <c r="A1" s="457" t="s">
        <v>6</v>
      </c>
      <c r="B1" s="457"/>
      <c r="C1" s="457"/>
      <c r="D1" s="457"/>
      <c r="E1" s="457"/>
      <c r="F1" s="457"/>
      <c r="G1" s="457"/>
      <c r="H1" s="457"/>
      <c r="I1" s="457"/>
      <c r="J1" s="505" t="s">
        <v>125</v>
      </c>
      <c r="K1" s="505"/>
      <c r="L1" s="239"/>
    </row>
    <row r="2" spans="1:12" s="65" customFormat="1" ht="25.5">
      <c r="A2" s="1"/>
      <c r="B2" s="400"/>
      <c r="C2" s="400"/>
      <c r="D2" s="400"/>
      <c r="E2" s="400"/>
      <c r="F2" s="400"/>
      <c r="G2" s="400"/>
      <c r="H2" s="367" t="s">
        <v>7</v>
      </c>
      <c r="I2" s="232" t="s">
        <v>265</v>
      </c>
      <c r="J2" s="505"/>
      <c r="K2" s="505"/>
      <c r="L2" s="239" t="s">
        <v>119</v>
      </c>
    </row>
    <row r="3" spans="1:12" s="65" customFormat="1">
      <c r="A3" s="3" t="s">
        <v>8</v>
      </c>
      <c r="B3" s="454">
        <v>6010693</v>
      </c>
      <c r="C3" s="455"/>
      <c r="D3" s="455"/>
      <c r="E3" s="455"/>
      <c r="F3" s="456"/>
      <c r="G3" s="3" t="s">
        <v>9</v>
      </c>
      <c r="H3" s="458">
        <v>46135</v>
      </c>
      <c r="I3" s="459"/>
      <c r="J3" s="192"/>
    </row>
    <row r="4" spans="1:12" s="65" customFormat="1" ht="15.75">
      <c r="A4" s="3" t="s">
        <v>10</v>
      </c>
      <c r="B4" s="531" t="s">
        <v>266</v>
      </c>
      <c r="C4" s="531"/>
      <c r="D4" s="531"/>
      <c r="E4" s="531"/>
      <c r="F4" s="531"/>
      <c r="G4" s="3" t="s">
        <v>11</v>
      </c>
      <c r="H4" s="532" t="s">
        <v>267</v>
      </c>
      <c r="I4" s="460"/>
      <c r="J4" s="192"/>
    </row>
    <row r="5" spans="1:12" s="65" customFormat="1">
      <c r="A5" s="461" t="s">
        <v>0</v>
      </c>
      <c r="B5" s="461" t="s">
        <v>12</v>
      </c>
      <c r="C5" s="461" t="s">
        <v>1</v>
      </c>
      <c r="D5" s="461"/>
      <c r="E5" s="461"/>
      <c r="F5" s="461"/>
      <c r="G5" s="3" t="s">
        <v>13</v>
      </c>
      <c r="H5" s="3" t="s">
        <v>3</v>
      </c>
      <c r="I5" s="3" t="s">
        <v>14</v>
      </c>
      <c r="J5" s="192"/>
    </row>
    <row r="6" spans="1:12" s="65" customFormat="1" ht="15.75">
      <c r="A6" s="461"/>
      <c r="B6" s="461"/>
      <c r="C6" s="461"/>
      <c r="D6" s="461"/>
      <c r="E6" s="461"/>
      <c r="F6" s="461"/>
      <c r="G6" s="3" t="s">
        <v>15</v>
      </c>
      <c r="H6" s="233" t="s">
        <v>16</v>
      </c>
      <c r="I6" s="233" t="s">
        <v>17</v>
      </c>
      <c r="J6" s="192"/>
    </row>
    <row r="7" spans="1:12" s="65" customFormat="1" ht="15.75">
      <c r="A7" s="4" t="s">
        <v>18</v>
      </c>
      <c r="B7" s="3" t="s">
        <v>19</v>
      </c>
      <c r="C7" s="533" t="s">
        <v>266</v>
      </c>
      <c r="D7" s="533"/>
      <c r="E7" s="533"/>
      <c r="F7" s="533"/>
      <c r="G7" s="200">
        <f>0.252^2*0.7854*8.89/10*133*1.015</f>
        <v>5.985651433619088</v>
      </c>
      <c r="H7" s="340">
        <f>(J7+1055)/1000/1.13+5.07</f>
        <v>96.269115044247798</v>
      </c>
      <c r="I7" s="234">
        <f>G7*H7</f>
        <v>576.23336647784276</v>
      </c>
      <c r="J7" s="407">
        <v>102000</v>
      </c>
      <c r="K7" s="408">
        <f>G7*10</f>
        <v>59.856514336190884</v>
      </c>
    </row>
    <row r="8" spans="1:12" s="65" customFormat="1" ht="17.25">
      <c r="A8" s="4">
        <v>2</v>
      </c>
      <c r="B8" s="3" t="s">
        <v>20</v>
      </c>
      <c r="C8" s="533" t="s">
        <v>268</v>
      </c>
      <c r="D8" s="533"/>
      <c r="E8" s="533"/>
      <c r="F8" s="533"/>
      <c r="G8" s="5">
        <f>(6.05^2-3.34^2*0.85)*0.7854*1.3/10</f>
        <v>2.7690307444800002</v>
      </c>
      <c r="H8" s="236">
        <f>20/1.13</f>
        <v>17.69911504424779</v>
      </c>
      <c r="I8" s="234">
        <f>G8*H8</f>
        <v>49.009393707610627</v>
      </c>
      <c r="J8" s="407"/>
      <c r="K8" s="407"/>
    </row>
    <row r="9" spans="1:12" s="65" customFormat="1" ht="15.75">
      <c r="A9" s="368" t="s">
        <v>21</v>
      </c>
      <c r="B9" s="43">
        <f>I9/100</f>
        <v>6.2524276018545333</v>
      </c>
      <c r="C9" s="436" t="s">
        <v>22</v>
      </c>
      <c r="D9" s="436"/>
      <c r="E9" s="436"/>
      <c r="F9" s="436"/>
      <c r="G9" s="120">
        <f>SUM(G7:G8)/100</f>
        <v>8.754682178099088E-2</v>
      </c>
      <c r="H9" s="44" t="s">
        <v>23</v>
      </c>
      <c r="I9" s="60">
        <f>SUM(I7:I8)</f>
        <v>625.24276018545333</v>
      </c>
      <c r="J9" s="370">
        <f>B9/I18</f>
        <v>0.80773634993873755</v>
      </c>
      <c r="K9" s="371">
        <f>G9*G16</f>
        <v>1750.9364356198175</v>
      </c>
    </row>
    <row r="10" spans="1:12" s="65" customFormat="1" ht="36">
      <c r="A10" s="9" t="s">
        <v>12</v>
      </c>
      <c r="B10" s="10" t="s">
        <v>24</v>
      </c>
      <c r="C10" s="10" t="s">
        <v>136</v>
      </c>
      <c r="D10" s="9" t="s">
        <v>25</v>
      </c>
      <c r="E10" s="9" t="s">
        <v>26</v>
      </c>
      <c r="F10" s="10" t="s">
        <v>27</v>
      </c>
      <c r="G10" s="10" t="s">
        <v>28</v>
      </c>
      <c r="H10" s="11" t="s">
        <v>29</v>
      </c>
      <c r="I10" s="9" t="s">
        <v>30</v>
      </c>
      <c r="J10" s="192"/>
    </row>
    <row r="11" spans="1:12" s="65" customFormat="1" ht="15.75">
      <c r="A11" s="3" t="s">
        <v>19</v>
      </c>
      <c r="B11" s="401">
        <v>2</v>
      </c>
      <c r="C11" s="12">
        <v>0</v>
      </c>
      <c r="D11" s="70">
        <v>50</v>
      </c>
      <c r="E11" s="70">
        <f>B11*D11*G16/1000+C11*D11*G14</f>
        <v>2000</v>
      </c>
      <c r="F11" s="402">
        <v>0.5</v>
      </c>
      <c r="G11" s="403">
        <v>0</v>
      </c>
      <c r="H11" s="72">
        <f>F11*I7</f>
        <v>288.11668323892138</v>
      </c>
      <c r="I11" s="70">
        <f>E11+H11*G14</f>
        <v>2288.1166832389213</v>
      </c>
      <c r="J11" s="192"/>
    </row>
    <row r="12" spans="1:12" s="65" customFormat="1" ht="15.75">
      <c r="A12" s="3" t="s">
        <v>20</v>
      </c>
      <c r="B12" s="404">
        <f>1000/60/30</f>
        <v>0.55555555555555558</v>
      </c>
      <c r="C12" s="12">
        <v>0</v>
      </c>
      <c r="D12" s="70">
        <v>300</v>
      </c>
      <c r="E12" s="70">
        <f>B12*D12*G16/1000+C12*D12*G14</f>
        <v>3333.3333333333335</v>
      </c>
      <c r="F12" s="402">
        <v>0.5</v>
      </c>
      <c r="G12" s="405">
        <v>2</v>
      </c>
      <c r="H12" s="72">
        <f>F12*I9+G12*H8</f>
        <v>348.01961018122222</v>
      </c>
      <c r="I12" s="70">
        <f>E12+H12*G14</f>
        <v>3681.3529435145556</v>
      </c>
      <c r="J12" s="192"/>
    </row>
    <row r="13" spans="1:12" s="65" customFormat="1" ht="24">
      <c r="A13" s="437" t="s">
        <v>31</v>
      </c>
      <c r="B13" s="438"/>
      <c r="C13" s="16" t="s">
        <v>32</v>
      </c>
      <c r="D13" s="16" t="s">
        <v>33</v>
      </c>
      <c r="E13" s="16" t="s">
        <v>34</v>
      </c>
      <c r="F13" s="51" t="s">
        <v>269</v>
      </c>
      <c r="G13" s="52" t="s">
        <v>35</v>
      </c>
      <c r="H13" s="19" t="s">
        <v>36</v>
      </c>
      <c r="I13" s="77">
        <f>SUM(I11:I12)</f>
        <v>5969.4696267534764</v>
      </c>
      <c r="J13" s="192"/>
    </row>
    <row r="14" spans="1:12" s="65" customFormat="1" ht="15">
      <c r="A14" s="439"/>
      <c r="B14" s="440"/>
      <c r="C14" s="277">
        <f>0.0074/3</f>
        <v>2.4666666666666669E-3</v>
      </c>
      <c r="D14" s="277">
        <v>0.8</v>
      </c>
      <c r="E14" s="20">
        <v>6.7000000000000002E-3</v>
      </c>
      <c r="F14" s="111">
        <v>0.03</v>
      </c>
      <c r="G14" s="53">
        <v>1</v>
      </c>
      <c r="H14" s="443" t="s">
        <v>37</v>
      </c>
      <c r="I14" s="444" t="s">
        <v>137</v>
      </c>
      <c r="J14" s="192"/>
    </row>
    <row r="15" spans="1:12" s="65" customFormat="1" ht="24">
      <c r="A15" s="439"/>
      <c r="B15" s="440"/>
      <c r="C15" s="214" t="s">
        <v>105</v>
      </c>
      <c r="D15" s="278" t="s">
        <v>106</v>
      </c>
      <c r="E15" s="16" t="s">
        <v>39</v>
      </c>
      <c r="F15" s="19" t="s">
        <v>40</v>
      </c>
      <c r="G15" s="22" t="s">
        <v>41</v>
      </c>
      <c r="H15" s="443"/>
      <c r="I15" s="445"/>
      <c r="J15" s="192"/>
    </row>
    <row r="16" spans="1:12" s="65" customFormat="1" ht="18.75">
      <c r="A16" s="439"/>
      <c r="B16" s="440"/>
      <c r="C16" s="366">
        <f>220/2</f>
        <v>110</v>
      </c>
      <c r="D16" s="219">
        <v>0.08</v>
      </c>
      <c r="E16" s="279">
        <v>0</v>
      </c>
      <c r="F16" s="147">
        <v>0</v>
      </c>
      <c r="G16" s="280">
        <v>20000</v>
      </c>
      <c r="H16" s="23">
        <f>I13/G16+B9+B9*F14</f>
        <v>6.7384739112478433</v>
      </c>
      <c r="I16" s="62">
        <f>(H16/(1-D16)+C14+E14+E16/G16+C16/G16+C18*D18+D14*G9)*(1+F16)*(1+E18+F18)</f>
        <v>7.649929087867255</v>
      </c>
      <c r="J16" s="192"/>
    </row>
    <row r="17" spans="1:10" s="65" customFormat="1">
      <c r="A17" s="439"/>
      <c r="B17" s="440"/>
      <c r="C17" s="51" t="s">
        <v>42</v>
      </c>
      <c r="D17" s="51" t="s">
        <v>43</v>
      </c>
      <c r="E17" s="214" t="s">
        <v>101</v>
      </c>
      <c r="F17" s="214" t="s">
        <v>102</v>
      </c>
      <c r="G17" s="214" t="s">
        <v>103</v>
      </c>
      <c r="H17" s="54" t="s">
        <v>44</v>
      </c>
      <c r="I17" s="63" t="s">
        <v>45</v>
      </c>
      <c r="J17" s="192"/>
    </row>
    <row r="18" spans="1:10" s="65" customFormat="1" ht="18.75">
      <c r="A18" s="441"/>
      <c r="B18" s="442"/>
      <c r="C18" s="55">
        <v>0</v>
      </c>
      <c r="D18" s="56">
        <v>0</v>
      </c>
      <c r="E18" s="144">
        <f>0.5%+0.5%</f>
        <v>0.01</v>
      </c>
      <c r="F18" s="144">
        <f>0.25%*3+0.25%*6</f>
        <v>2.2499999999999999E-2</v>
      </c>
      <c r="G18" s="231">
        <v>0.15</v>
      </c>
      <c r="H18" s="23">
        <f>(H16+C14+E14+E16/G16+C16/G16+C18*D18+D14*G9)*(1+F16)*(1+E18+F18)</f>
        <v>7.0449313214878293</v>
      </c>
      <c r="I18" s="62">
        <f>I16+(I16-H18)*G18</f>
        <v>7.7406787528241692</v>
      </c>
      <c r="J18" s="192"/>
    </row>
    <row r="19" spans="1:10">
      <c r="I19" s="406"/>
    </row>
  </sheetData>
  <mergeCells count="15">
    <mergeCell ref="J1:K2"/>
    <mergeCell ref="C7:F7"/>
    <mergeCell ref="C8:F8"/>
    <mergeCell ref="C9:F9"/>
    <mergeCell ref="A13:B18"/>
    <mergeCell ref="H14:H15"/>
    <mergeCell ref="I14:I15"/>
    <mergeCell ref="A1:I1"/>
    <mergeCell ref="B3:F3"/>
    <mergeCell ref="H3:I3"/>
    <mergeCell ref="B4:F4"/>
    <mergeCell ref="H4:I4"/>
    <mergeCell ref="A5:A6"/>
    <mergeCell ref="B5:B6"/>
    <mergeCell ref="C5:F6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BA64-6DF5-4F07-A182-CF483506631A}">
  <sheetPr codeName="Sheet158">
    <tabColor rgb="FF7030A0"/>
  </sheetPr>
  <dimension ref="A1:N25"/>
  <sheetViews>
    <sheetView workbookViewId="0">
      <selection activeCell="I31" sqref="I31"/>
    </sheetView>
  </sheetViews>
  <sheetFormatPr defaultRowHeight="14.25"/>
  <cols>
    <col min="9" max="9" width="21" customWidth="1"/>
  </cols>
  <sheetData>
    <row r="1" spans="1:14" s="113" customFormat="1" ht="25.5">
      <c r="A1" s="446" t="s">
        <v>46</v>
      </c>
      <c r="B1" s="446"/>
      <c r="C1" s="446"/>
      <c r="D1" s="446"/>
      <c r="E1" s="446"/>
      <c r="F1" s="446"/>
      <c r="G1" s="446"/>
      <c r="H1" s="446"/>
      <c r="I1" s="446"/>
      <c r="J1" s="505" t="s">
        <v>125</v>
      </c>
      <c r="K1" s="505"/>
      <c r="L1"/>
    </row>
    <row r="2" spans="1:14" s="113" customFormat="1" ht="25.5">
      <c r="A2" s="28"/>
      <c r="B2" s="28"/>
      <c r="C2" s="28"/>
      <c r="D2" s="28"/>
      <c r="E2" s="29"/>
      <c r="F2" s="30"/>
      <c r="G2" s="30"/>
      <c r="H2" s="30" t="s">
        <v>47</v>
      </c>
      <c r="I2" s="58" t="s">
        <v>284</v>
      </c>
      <c r="J2" s="505"/>
      <c r="K2" s="505"/>
      <c r="L2" s="239" t="s">
        <v>224</v>
      </c>
    </row>
    <row r="3" spans="1:14" s="113" customFormat="1">
      <c r="A3" s="31" t="s">
        <v>48</v>
      </c>
      <c r="B3" s="453" t="s">
        <v>285</v>
      </c>
      <c r="C3" s="453"/>
      <c r="D3" s="453"/>
      <c r="E3" s="453"/>
      <c r="F3" s="453"/>
      <c r="G3" s="31" t="s">
        <v>49</v>
      </c>
      <c r="H3" s="447" t="s">
        <v>286</v>
      </c>
      <c r="I3" s="447"/>
    </row>
    <row r="4" spans="1:14" s="113" customFormat="1" ht="32.25" customHeight="1">
      <c r="A4" s="31" t="s">
        <v>50</v>
      </c>
      <c r="B4" s="448" t="s">
        <v>148</v>
      </c>
      <c r="C4" s="449"/>
      <c r="D4" s="449"/>
      <c r="E4" s="449"/>
      <c r="F4" s="450"/>
      <c r="G4" s="31" t="s">
        <v>51</v>
      </c>
      <c r="H4" s="451" t="s">
        <v>287</v>
      </c>
      <c r="I4" s="451"/>
    </row>
    <row r="5" spans="1:14" s="113" customFormat="1">
      <c r="A5" s="452" t="s">
        <v>52</v>
      </c>
      <c r="B5" s="462" t="s">
        <v>53</v>
      </c>
      <c r="C5" s="453" t="s">
        <v>151</v>
      </c>
      <c r="D5" s="453"/>
      <c r="E5" s="453"/>
      <c r="F5" s="453"/>
      <c r="G5" s="31" t="s">
        <v>55</v>
      </c>
      <c r="H5" s="31" t="s">
        <v>56</v>
      </c>
      <c r="I5" s="31" t="s">
        <v>57</v>
      </c>
    </row>
    <row r="6" spans="1:14" s="113" customFormat="1" ht="15.75">
      <c r="A6" s="452"/>
      <c r="B6" s="452"/>
      <c r="C6" s="453"/>
      <c r="D6" s="453"/>
      <c r="E6" s="453"/>
      <c r="F6" s="453"/>
      <c r="G6" s="31" t="s">
        <v>58</v>
      </c>
      <c r="H6" s="32" t="s">
        <v>59</v>
      </c>
      <c r="I6" s="32" t="s">
        <v>60</v>
      </c>
    </row>
    <row r="7" spans="1:14" s="113" customFormat="1" ht="15.75">
      <c r="A7" s="243" t="s">
        <v>61</v>
      </c>
      <c r="B7" s="242" t="s">
        <v>62</v>
      </c>
      <c r="C7" s="541" t="s">
        <v>166</v>
      </c>
      <c r="D7" s="542"/>
      <c r="E7" s="542"/>
      <c r="F7" s="543"/>
      <c r="G7" s="306">
        <f>0.194^2*0.7854*8.89*1121*1.012*1.015/10</f>
        <v>30.258562016236141</v>
      </c>
      <c r="H7" s="67">
        <f>(J7+1055)/1000/1.13+1.18</f>
        <v>94.149026548672595</v>
      </c>
      <c r="I7" s="59">
        <f>G7*H7</f>
        <v>2848.8141585912726</v>
      </c>
      <c r="J7" s="192">
        <v>104000</v>
      </c>
    </row>
    <row r="8" spans="1:14" s="113" customFormat="1" ht="15.75">
      <c r="A8" s="242">
        <v>2</v>
      </c>
      <c r="B8" s="242" t="s">
        <v>63</v>
      </c>
      <c r="C8" s="544" t="s">
        <v>293</v>
      </c>
      <c r="D8" s="542"/>
      <c r="E8" s="542"/>
      <c r="F8" s="543"/>
      <c r="G8" s="121">
        <f>(10.15^2-8^2*0.9)*0.7854*1.2/10</f>
        <v>4.2809797800000009</v>
      </c>
      <c r="H8" s="265">
        <f>31.7/1.13+0.3</f>
        <v>28.353097345132745</v>
      </c>
      <c r="I8" s="59">
        <f>G8*H8</f>
        <v>121.37903643488499</v>
      </c>
    </row>
    <row r="9" spans="1:14" s="113" customFormat="1" ht="15.75">
      <c r="A9" s="242">
        <v>4</v>
      </c>
      <c r="B9" s="242" t="s">
        <v>146</v>
      </c>
      <c r="C9" s="247" t="s">
        <v>99</v>
      </c>
      <c r="D9" s="244"/>
      <c r="E9" s="244"/>
      <c r="F9" s="245"/>
      <c r="G9" s="307">
        <f>0.198^2*0.7854*24*8*8.89/(COS(ATAN(2*PI()*(10.15+2*0.198)*3.8/24/25.4)))*1.03/10</f>
        <v>5.8569051974366451</v>
      </c>
      <c r="H9" s="67">
        <f>(J7+1055)/1000/1.13+5.7</f>
        <v>98.669026548672591</v>
      </c>
      <c r="I9" s="59">
        <f>G9*H9</f>
        <v>577.89513441893484</v>
      </c>
    </row>
    <row r="10" spans="1:14" s="113" customFormat="1" ht="15.75">
      <c r="A10" s="242">
        <v>4</v>
      </c>
      <c r="B10" s="242" t="s">
        <v>67</v>
      </c>
      <c r="C10" s="247" t="s">
        <v>167</v>
      </c>
      <c r="D10" s="244"/>
      <c r="E10" s="244"/>
      <c r="F10" s="245"/>
      <c r="G10" s="246">
        <f>3.1416*(10.95+0.035)*0.035*2*1.3/10</f>
        <v>0.31404533160000003</v>
      </c>
      <c r="H10" s="265">
        <v>23.5</v>
      </c>
      <c r="I10" s="59">
        <f>G10*H10</f>
        <v>7.3800652926000012</v>
      </c>
    </row>
    <row r="11" spans="1:14" s="113" customFormat="1" ht="15.75">
      <c r="A11" s="242">
        <v>5</v>
      </c>
      <c r="B11" s="242" t="s">
        <v>150</v>
      </c>
      <c r="C11" s="544" t="s">
        <v>288</v>
      </c>
      <c r="D11" s="542"/>
      <c r="E11" s="542"/>
      <c r="F11" s="543"/>
      <c r="G11" s="92">
        <f>(14.1^2-11^2*0.95)*0.7854*1.2/10</f>
        <v>7.9036372800000008</v>
      </c>
      <c r="H11" s="265">
        <f>31.7/1.13+0.3</f>
        <v>28.353097345132745</v>
      </c>
      <c r="I11" s="59">
        <f>G11*H11</f>
        <v>224.09259718046022</v>
      </c>
      <c r="N11"/>
    </row>
    <row r="12" spans="1:14" s="113" customFormat="1" ht="15.75">
      <c r="A12" s="42" t="s">
        <v>69</v>
      </c>
      <c r="B12" s="43">
        <f>I12/100</f>
        <v>37.795609919181537</v>
      </c>
      <c r="C12" s="436" t="s">
        <v>70</v>
      </c>
      <c r="D12" s="436"/>
      <c r="E12" s="436"/>
      <c r="F12" s="436"/>
      <c r="G12" s="43">
        <f>SUM(G7:G11)/100</f>
        <v>0.48614129605272788</v>
      </c>
      <c r="H12" s="44" t="s">
        <v>71</v>
      </c>
      <c r="I12" s="60">
        <f>SUM(I7:I11)</f>
        <v>3779.5609919181534</v>
      </c>
      <c r="J12" s="370">
        <f>B12/I25</f>
        <v>0.84946664726316734</v>
      </c>
    </row>
    <row r="13" spans="1:14" s="113" customFormat="1" ht="36">
      <c r="A13" s="249" t="s">
        <v>53</v>
      </c>
      <c r="B13" s="250" t="s">
        <v>72</v>
      </c>
      <c r="C13" s="250" t="s">
        <v>73</v>
      </c>
      <c r="D13" s="249" t="s">
        <v>74</v>
      </c>
      <c r="E13" s="249" t="s">
        <v>75</v>
      </c>
      <c r="F13" s="250" t="s">
        <v>76</v>
      </c>
      <c r="G13" s="250" t="s">
        <v>77</v>
      </c>
      <c r="H13" s="251" t="s">
        <v>78</v>
      </c>
      <c r="I13" s="249" t="s">
        <v>79</v>
      </c>
    </row>
    <row r="14" spans="1:14" s="113" customFormat="1" ht="15.75">
      <c r="A14" s="242" t="s">
        <v>62</v>
      </c>
      <c r="B14" s="252">
        <f>1000/60/60*19</f>
        <v>5.2777777777777777</v>
      </c>
      <c r="C14" s="253">
        <v>0</v>
      </c>
      <c r="D14" s="254">
        <v>15</v>
      </c>
      <c r="E14" s="254">
        <f>B14*D14*G23/1000</f>
        <v>3958.3333333333335</v>
      </c>
      <c r="F14" s="255">
        <v>0.01</v>
      </c>
      <c r="G14" s="71">
        <v>0</v>
      </c>
      <c r="H14" s="256">
        <f>F14*I7</f>
        <v>28.488141585912729</v>
      </c>
      <c r="I14" s="254">
        <f>E14+H14*G21</f>
        <v>3986.8214749192462</v>
      </c>
    </row>
    <row r="15" spans="1:14" s="113" customFormat="1" ht="15.75">
      <c r="A15" s="242" t="s">
        <v>62</v>
      </c>
      <c r="B15" s="252">
        <f>1000/3000*12</f>
        <v>4</v>
      </c>
      <c r="C15" s="253">
        <v>0</v>
      </c>
      <c r="D15" s="254">
        <v>60</v>
      </c>
      <c r="E15" s="254">
        <f>B15*D15*G23/1000</f>
        <v>12000</v>
      </c>
      <c r="F15" s="255">
        <v>0.01</v>
      </c>
      <c r="G15" s="71">
        <v>0</v>
      </c>
      <c r="H15" s="256">
        <f>F15*I7</f>
        <v>28.488141585912729</v>
      </c>
      <c r="I15" s="254">
        <f>E15+H15*G21</f>
        <v>12028.488141585913</v>
      </c>
    </row>
    <row r="16" spans="1:14" s="113" customFormat="1" ht="15.75">
      <c r="A16" s="242" t="s">
        <v>63</v>
      </c>
      <c r="B16" s="252">
        <f>1000/60/20</f>
        <v>0.83333333333333337</v>
      </c>
      <c r="C16" s="253">
        <v>0</v>
      </c>
      <c r="D16" s="254">
        <v>300</v>
      </c>
      <c r="E16" s="254">
        <f>B16*D16*G23/1000</f>
        <v>12500</v>
      </c>
      <c r="F16" s="255">
        <v>0.5</v>
      </c>
      <c r="G16" s="71">
        <v>2</v>
      </c>
      <c r="H16" s="256">
        <f>F16*(I7+I8)+G16*H8</f>
        <v>1541.8027922033443</v>
      </c>
      <c r="I16" s="254">
        <f>E16+H16*G16</f>
        <v>15583.605584406689</v>
      </c>
    </row>
    <row r="17" spans="1:9" s="113" customFormat="1" ht="15.75">
      <c r="A17" s="242" t="s">
        <v>146</v>
      </c>
      <c r="B17" s="252">
        <f>1000/60/2</f>
        <v>8.3333333333333339</v>
      </c>
      <c r="C17" s="253">
        <v>0</v>
      </c>
      <c r="D17" s="254">
        <v>60</v>
      </c>
      <c r="E17" s="254">
        <f>B17*D17*G23/1000</f>
        <v>25000.000000000004</v>
      </c>
      <c r="F17" s="255">
        <v>0.02</v>
      </c>
      <c r="G17" s="71">
        <v>0</v>
      </c>
      <c r="H17" s="256">
        <f>F17*(I7+I8+I9)</f>
        <v>70.961766588901853</v>
      </c>
      <c r="I17" s="254">
        <f>E17+H17*G21</f>
        <v>25070.961766588905</v>
      </c>
    </row>
    <row r="18" spans="1:9" s="113" customFormat="1" ht="15.75">
      <c r="A18" s="242" t="s">
        <v>149</v>
      </c>
      <c r="B18" s="252">
        <f>1000/60/15</f>
        <v>1.1111111111111112</v>
      </c>
      <c r="C18" s="253">
        <v>0</v>
      </c>
      <c r="D18" s="254">
        <v>15</v>
      </c>
      <c r="E18" s="254">
        <f>B18*D18*G23/1000</f>
        <v>833.33333333333337</v>
      </c>
      <c r="F18" s="255">
        <v>0.02</v>
      </c>
      <c r="G18" s="71">
        <v>0</v>
      </c>
      <c r="H18" s="256">
        <f>F18*(I7+I8+I9+I10)</f>
        <v>71.109367894753859</v>
      </c>
      <c r="I18" s="254">
        <f>E18+H18*G21</f>
        <v>904.44270122808723</v>
      </c>
    </row>
    <row r="19" spans="1:9" s="113" customFormat="1" ht="15.75">
      <c r="A19" s="242" t="s">
        <v>150</v>
      </c>
      <c r="B19" s="252">
        <f>1000/60/15</f>
        <v>1.1111111111111112</v>
      </c>
      <c r="C19" s="253">
        <v>0</v>
      </c>
      <c r="D19" s="254">
        <v>300</v>
      </c>
      <c r="E19" s="254">
        <f>B19*D19*G23/1000</f>
        <v>16666.666666666668</v>
      </c>
      <c r="F19" s="255">
        <v>0.5</v>
      </c>
      <c r="G19" s="71">
        <v>5</v>
      </c>
      <c r="H19" s="256">
        <f>F19*(SUM(I7:I11))+G19*H11</f>
        <v>2031.5459826847405</v>
      </c>
      <c r="I19" s="254">
        <f>E19+H19*G21</f>
        <v>18698.212649351408</v>
      </c>
    </row>
    <row r="20" spans="1:9" s="113" customFormat="1" ht="24">
      <c r="A20" s="534" t="s">
        <v>147</v>
      </c>
      <c r="B20" s="535"/>
      <c r="C20" s="257" t="s">
        <v>82</v>
      </c>
      <c r="D20" s="258" t="s">
        <v>83</v>
      </c>
      <c r="E20" s="258" t="s">
        <v>84</v>
      </c>
      <c r="F20" s="74" t="s">
        <v>85</v>
      </c>
      <c r="G20" s="75" t="s">
        <v>86</v>
      </c>
      <c r="H20" s="259" t="s">
        <v>87</v>
      </c>
      <c r="I20" s="260">
        <f>SUM(I14:I19)</f>
        <v>76272.532318080252</v>
      </c>
    </row>
    <row r="21" spans="1:9" s="113" customFormat="1" ht="15">
      <c r="A21" s="536"/>
      <c r="B21" s="537"/>
      <c r="C21" s="261">
        <v>0</v>
      </c>
      <c r="D21" s="277">
        <v>0.79800000000000004</v>
      </c>
      <c r="E21" s="261">
        <v>0.2</v>
      </c>
      <c r="F21" s="128">
        <v>0.02</v>
      </c>
      <c r="G21" s="53">
        <v>1</v>
      </c>
      <c r="H21" s="540" t="s">
        <v>88</v>
      </c>
      <c r="I21" s="444" t="s">
        <v>89</v>
      </c>
    </row>
    <row r="22" spans="1:9" s="113" customFormat="1" ht="24">
      <c r="A22" s="536"/>
      <c r="B22" s="537"/>
      <c r="C22" s="214" t="s">
        <v>105</v>
      </c>
      <c r="D22" s="278" t="s">
        <v>106</v>
      </c>
      <c r="E22" s="257" t="s">
        <v>90</v>
      </c>
      <c r="F22" s="262" t="s">
        <v>91</v>
      </c>
      <c r="G22" s="263" t="s">
        <v>92</v>
      </c>
      <c r="H22" s="540"/>
      <c r="I22" s="445"/>
    </row>
    <row r="23" spans="1:9" s="113" customFormat="1" ht="18.75">
      <c r="A23" s="536"/>
      <c r="B23" s="537"/>
      <c r="C23" s="366">
        <f>220/2</f>
        <v>110</v>
      </c>
      <c r="D23" s="219">
        <v>0.05</v>
      </c>
      <c r="E23" s="279">
        <v>0</v>
      </c>
      <c r="F23" s="159">
        <v>0</v>
      </c>
      <c r="G23" s="280">
        <v>50000</v>
      </c>
      <c r="H23" s="264">
        <f>I20/G23+B12+B12*F21</f>
        <v>40.076972763926776</v>
      </c>
      <c r="I23" s="266">
        <f>(H23/(1-D23)+C21+E21+E23/G23+C23/G23+C25*D25+D21*G12)*(1+F23)*(1+E25+F25)</f>
        <v>44.166661780083622</v>
      </c>
    </row>
    <row r="24" spans="1:9" s="113" customFormat="1">
      <c r="A24" s="536"/>
      <c r="B24" s="537"/>
      <c r="C24" s="51" t="s">
        <v>93</v>
      </c>
      <c r="D24" s="51" t="s">
        <v>94</v>
      </c>
      <c r="E24" s="158" t="s">
        <v>101</v>
      </c>
      <c r="F24" s="158" t="s">
        <v>102</v>
      </c>
      <c r="G24" s="158" t="s">
        <v>103</v>
      </c>
      <c r="H24" s="54" t="s">
        <v>95</v>
      </c>
      <c r="I24" s="267" t="s">
        <v>96</v>
      </c>
    </row>
    <row r="25" spans="1:9" s="113" customFormat="1" ht="18.75">
      <c r="A25" s="538"/>
      <c r="B25" s="539"/>
      <c r="C25" s="55">
        <v>0</v>
      </c>
      <c r="D25" s="123">
        <v>0</v>
      </c>
      <c r="E25" s="156">
        <f>0.5%+0.5%</f>
        <v>0.01</v>
      </c>
      <c r="F25" s="156">
        <f>0.25%*3+0.25%*6</f>
        <v>2.2499999999999999E-2</v>
      </c>
      <c r="G25" s="155">
        <v>0.15</v>
      </c>
      <c r="H25" s="264">
        <f>(H23+C21+E21+E23/G23+C23/G23+C25*D25+D21*G12)*(1+F23)*(1+E25+F25)</f>
        <v>41.988794707517599</v>
      </c>
      <c r="I25" s="266">
        <f>I23+(I23-H25)*G25</f>
        <v>44.493341840968526</v>
      </c>
    </row>
  </sheetData>
  <mergeCells count="16">
    <mergeCell ref="A20:B25"/>
    <mergeCell ref="H21:H22"/>
    <mergeCell ref="A1:I1"/>
    <mergeCell ref="B3:F3"/>
    <mergeCell ref="H3:I3"/>
    <mergeCell ref="B4:F4"/>
    <mergeCell ref="H4:I4"/>
    <mergeCell ref="A5:A6"/>
    <mergeCell ref="B5:B6"/>
    <mergeCell ref="C5:F6"/>
    <mergeCell ref="I21:I22"/>
    <mergeCell ref="J1:K2"/>
    <mergeCell ref="C7:F7"/>
    <mergeCell ref="C8:F8"/>
    <mergeCell ref="C11:F11"/>
    <mergeCell ref="C12:F12"/>
  </mergeCells>
  <phoneticPr fontId="7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995A5-0F72-4542-B31F-2F90AB6F702C}">
  <sheetPr codeName="Sheet162"/>
  <dimension ref="A1:X27"/>
  <sheetViews>
    <sheetView workbookViewId="0">
      <selection activeCell="T27" sqref="T27"/>
    </sheetView>
  </sheetViews>
  <sheetFormatPr defaultRowHeight="13.5"/>
  <cols>
    <col min="1" max="3" width="9.125" style="26" bestFit="1" customWidth="1"/>
    <col min="4" max="4" width="10.125" style="26" customWidth="1"/>
    <col min="5" max="5" width="13" style="26" customWidth="1"/>
    <col min="6" max="6" width="9.125" style="26" bestFit="1" customWidth="1"/>
    <col min="7" max="7" width="9.5" style="26" bestFit="1" customWidth="1"/>
    <col min="8" max="8" width="10.5" style="26" bestFit="1" customWidth="1"/>
    <col min="9" max="9" width="18.125" style="26" customWidth="1"/>
    <col min="10" max="22" width="9" style="26"/>
    <col min="23" max="23" width="14.375" style="26" customWidth="1"/>
    <col min="24" max="16384" width="9" style="26"/>
  </cols>
  <sheetData>
    <row r="1" spans="1:24" s="228" customFormat="1" ht="25.5">
      <c r="A1" s="446" t="s">
        <v>46</v>
      </c>
      <c r="B1" s="446"/>
      <c r="C1" s="446"/>
      <c r="D1" s="446"/>
      <c r="E1" s="446"/>
      <c r="F1" s="446"/>
      <c r="G1" s="446"/>
      <c r="H1" s="446"/>
      <c r="I1" s="446"/>
      <c r="J1" s="505" t="s">
        <v>297</v>
      </c>
      <c r="K1" s="505"/>
      <c r="L1" s="239"/>
      <c r="O1" s="560" t="s">
        <v>170</v>
      </c>
      <c r="P1" s="560"/>
      <c r="Q1" s="560"/>
      <c r="R1" s="560"/>
      <c r="S1" s="560"/>
      <c r="T1" s="560"/>
      <c r="U1" s="560"/>
      <c r="V1" s="560"/>
      <c r="W1" s="560"/>
      <c r="X1" s="226"/>
    </row>
    <row r="2" spans="1:24" s="228" customFormat="1" ht="25.5">
      <c r="A2" s="28"/>
      <c r="B2" s="28"/>
      <c r="C2" s="28"/>
      <c r="D2" s="28"/>
      <c r="E2" s="29"/>
      <c r="F2" s="30"/>
      <c r="G2" s="30"/>
      <c r="H2" s="30" t="s">
        <v>47</v>
      </c>
      <c r="I2" s="229" t="s">
        <v>307</v>
      </c>
      <c r="J2" s="505"/>
      <c r="K2" s="505"/>
      <c r="L2" s="239" t="s">
        <v>298</v>
      </c>
      <c r="O2" s="346"/>
      <c r="P2" s="346"/>
      <c r="Q2" s="346"/>
      <c r="R2" s="346"/>
      <c r="S2" s="345"/>
      <c r="T2" s="344"/>
      <c r="U2" s="344"/>
      <c r="V2" s="344" t="s">
        <v>47</v>
      </c>
      <c r="W2" s="343" t="s">
        <v>153</v>
      </c>
      <c r="X2" s="226"/>
    </row>
    <row r="3" spans="1:24" s="228" customFormat="1" ht="24" customHeight="1">
      <c r="A3" s="31" t="s">
        <v>48</v>
      </c>
      <c r="B3" s="509"/>
      <c r="C3" s="510"/>
      <c r="D3" s="510"/>
      <c r="E3" s="510"/>
      <c r="F3" s="511"/>
      <c r="G3" s="31" t="s">
        <v>49</v>
      </c>
      <c r="H3" s="512" t="s">
        <v>308</v>
      </c>
      <c r="I3" s="513"/>
      <c r="O3" s="342" t="s">
        <v>48</v>
      </c>
      <c r="P3" s="600">
        <v>6010413</v>
      </c>
      <c r="Q3" s="601"/>
      <c r="R3" s="601"/>
      <c r="S3" s="601"/>
      <c r="T3" s="602"/>
      <c r="U3" s="342" t="s">
        <v>49</v>
      </c>
      <c r="V3" s="570" t="s">
        <v>195</v>
      </c>
      <c r="W3" s="571"/>
      <c r="X3" s="226"/>
    </row>
    <row r="4" spans="1:24" s="228" customFormat="1" ht="35.25" customHeight="1">
      <c r="A4" s="31" t="s">
        <v>50</v>
      </c>
      <c r="B4" s="525" t="s">
        <v>120</v>
      </c>
      <c r="C4" s="526"/>
      <c r="D4" s="526"/>
      <c r="E4" s="526"/>
      <c r="F4" s="527"/>
      <c r="G4" s="31" t="s">
        <v>51</v>
      </c>
      <c r="H4" s="598" t="s">
        <v>310</v>
      </c>
      <c r="I4" s="599"/>
      <c r="J4" s="228" t="s">
        <v>309</v>
      </c>
      <c r="O4" s="342" t="s">
        <v>50</v>
      </c>
      <c r="P4" s="561" t="s">
        <v>120</v>
      </c>
      <c r="Q4" s="562"/>
      <c r="R4" s="562"/>
      <c r="S4" s="562"/>
      <c r="T4" s="563"/>
      <c r="U4" s="342" t="s">
        <v>51</v>
      </c>
      <c r="V4" s="572" t="s">
        <v>185</v>
      </c>
      <c r="W4" s="573"/>
      <c r="X4" s="226"/>
    </row>
    <row r="5" spans="1:24" s="228" customFormat="1" ht="14.25">
      <c r="A5" s="514" t="s">
        <v>52</v>
      </c>
      <c r="B5" s="514" t="s">
        <v>53</v>
      </c>
      <c r="C5" s="515" t="s">
        <v>54</v>
      </c>
      <c r="D5" s="516"/>
      <c r="E5" s="516"/>
      <c r="F5" s="517"/>
      <c r="G5" s="31" t="s">
        <v>55</v>
      </c>
      <c r="H5" s="31" t="s">
        <v>56</v>
      </c>
      <c r="I5" s="31" t="s">
        <v>57</v>
      </c>
      <c r="O5" s="574" t="s">
        <v>52</v>
      </c>
      <c r="P5" s="574" t="s">
        <v>53</v>
      </c>
      <c r="Q5" s="575" t="s">
        <v>54</v>
      </c>
      <c r="R5" s="576"/>
      <c r="S5" s="576"/>
      <c r="T5" s="577"/>
      <c r="U5" s="342" t="s">
        <v>55</v>
      </c>
      <c r="V5" s="342" t="s">
        <v>56</v>
      </c>
      <c r="W5" s="342" t="s">
        <v>57</v>
      </c>
      <c r="X5" s="226"/>
    </row>
    <row r="6" spans="1:24" s="228" customFormat="1" ht="15.75">
      <c r="A6" s="462"/>
      <c r="B6" s="462"/>
      <c r="C6" s="518"/>
      <c r="D6" s="519"/>
      <c r="E6" s="519"/>
      <c r="F6" s="520"/>
      <c r="G6" s="31" t="s">
        <v>58</v>
      </c>
      <c r="H6" s="31" t="s">
        <v>59</v>
      </c>
      <c r="I6" s="31" t="s">
        <v>60</v>
      </c>
      <c r="O6" s="556"/>
      <c r="P6" s="556"/>
      <c r="Q6" s="578"/>
      <c r="R6" s="579"/>
      <c r="S6" s="579"/>
      <c r="T6" s="580"/>
      <c r="U6" s="342" t="s">
        <v>58</v>
      </c>
      <c r="V6" s="341" t="s">
        <v>59</v>
      </c>
      <c r="W6" s="341" t="s">
        <v>60</v>
      </c>
      <c r="X6" s="226"/>
    </row>
    <row r="7" spans="1:24" s="228" customFormat="1" ht="15.75">
      <c r="A7" s="33">
        <v>1</v>
      </c>
      <c r="B7" s="34" t="s">
        <v>62</v>
      </c>
      <c r="C7" s="528" t="s">
        <v>121</v>
      </c>
      <c r="D7" s="529"/>
      <c r="E7" s="529"/>
      <c r="F7" s="530"/>
      <c r="G7" s="35">
        <f>0.192^2*0.7854*8.89*128*1.015/10</f>
        <v>3.3440374094561278</v>
      </c>
      <c r="H7" s="67">
        <f>(J7+1055)/1000/1.13+1.18</f>
        <v>92.379115044247811</v>
      </c>
      <c r="I7" s="59">
        <f>G7*H7</f>
        <v>308.91921656041603</v>
      </c>
      <c r="J7" s="228">
        <v>102000</v>
      </c>
      <c r="O7" s="312">
        <v>1</v>
      </c>
      <c r="P7" s="313" t="s">
        <v>62</v>
      </c>
      <c r="Q7" s="557" t="s">
        <v>121</v>
      </c>
      <c r="R7" s="558"/>
      <c r="S7" s="558"/>
      <c r="T7" s="559"/>
      <c r="U7" s="426">
        <f>0.192^2*0.7854*8.89*128*1.015/10</f>
        <v>3.3440374094561278</v>
      </c>
      <c r="V7" s="340">
        <f>(X7+1055)/1000/1.13+1.18</f>
        <v>92.379115044247811</v>
      </c>
      <c r="W7" s="339">
        <f>U7*V7</f>
        <v>308.91921656041603</v>
      </c>
      <c r="X7" s="226" t="s">
        <v>199</v>
      </c>
    </row>
    <row r="8" spans="1:24" s="228" customFormat="1" ht="23.25" customHeight="1">
      <c r="A8" s="34">
        <v>2</v>
      </c>
      <c r="B8" s="34" t="s">
        <v>63</v>
      </c>
      <c r="C8" s="528" t="s">
        <v>311</v>
      </c>
      <c r="D8" s="529"/>
      <c r="E8" s="529"/>
      <c r="F8" s="530"/>
      <c r="G8" s="36">
        <f>(4.2^2-2.5^2*0.9)*0.7854*1.35/10</f>
        <v>1.2739384350000003</v>
      </c>
      <c r="H8" s="66">
        <v>12.83</v>
      </c>
      <c r="I8" s="59">
        <f>G8*H8</f>
        <v>16.344630121050002</v>
      </c>
      <c r="J8" s="228" t="s">
        <v>316</v>
      </c>
      <c r="O8" s="313">
        <v>2</v>
      </c>
      <c r="P8" s="313" t="s">
        <v>63</v>
      </c>
      <c r="Q8" s="557" t="s">
        <v>312</v>
      </c>
      <c r="R8" s="558"/>
      <c r="S8" s="558"/>
      <c r="T8" s="559"/>
      <c r="U8" s="427">
        <f>(4.2^2-2.5^2*0.9)*0.7854*1.35/10</f>
        <v>1.2739384350000003</v>
      </c>
      <c r="V8" s="424">
        <v>13.9003</v>
      </c>
      <c r="W8" s="339">
        <f>U8*V8</f>
        <v>17.708126428030504</v>
      </c>
      <c r="X8" s="226"/>
    </row>
    <row r="9" spans="1:24" s="228" customFormat="1" ht="15.75">
      <c r="A9" s="42" t="s">
        <v>69</v>
      </c>
      <c r="B9" s="43">
        <f>I9/100</f>
        <v>3.2526384668146604</v>
      </c>
      <c r="C9" s="522" t="s">
        <v>70</v>
      </c>
      <c r="D9" s="523"/>
      <c r="E9" s="523"/>
      <c r="F9" s="524"/>
      <c r="G9" s="43">
        <f>SUM(G7:G8)/100</f>
        <v>4.6179758444561278E-2</v>
      </c>
      <c r="H9" s="44" t="s">
        <v>71</v>
      </c>
      <c r="I9" s="60">
        <f>SUM(I7:I8)</f>
        <v>325.26384668146602</v>
      </c>
      <c r="J9" s="335">
        <f>B9/I18</f>
        <v>0.87530451367689932</v>
      </c>
      <c r="O9" s="338" t="s">
        <v>69</v>
      </c>
      <c r="P9" s="336">
        <f>W9/100</f>
        <v>3.2662734298844653</v>
      </c>
      <c r="Q9" s="564" t="s">
        <v>70</v>
      </c>
      <c r="R9" s="565"/>
      <c r="S9" s="565"/>
      <c r="T9" s="566"/>
      <c r="U9" s="336">
        <f>SUM(U7:U8)/100</f>
        <v>4.6179758444561278E-2</v>
      </c>
      <c r="V9" s="337" t="s">
        <v>71</v>
      </c>
      <c r="W9" s="336">
        <f>SUM(W7:W8)</f>
        <v>326.62734298844651</v>
      </c>
      <c r="X9" s="335">
        <f>P9/W18</f>
        <v>0.90789430979851249</v>
      </c>
    </row>
    <row r="10" spans="1:24" s="228" customFormat="1" ht="36">
      <c r="A10" s="45" t="s">
        <v>53</v>
      </c>
      <c r="B10" s="46" t="s">
        <v>72</v>
      </c>
      <c r="C10" s="46" t="s">
        <v>138</v>
      </c>
      <c r="D10" s="45" t="s">
        <v>74</v>
      </c>
      <c r="E10" s="45" t="s">
        <v>75</v>
      </c>
      <c r="F10" s="46" t="s">
        <v>76</v>
      </c>
      <c r="G10" s="46" t="s">
        <v>77</v>
      </c>
      <c r="H10" s="47" t="s">
        <v>78</v>
      </c>
      <c r="I10" s="45" t="s">
        <v>79</v>
      </c>
      <c r="O10" s="314" t="s">
        <v>53</v>
      </c>
      <c r="P10" s="315" t="s">
        <v>72</v>
      </c>
      <c r="Q10" s="315" t="s">
        <v>73</v>
      </c>
      <c r="R10" s="314" t="s">
        <v>74</v>
      </c>
      <c r="S10" s="314" t="s">
        <v>75</v>
      </c>
      <c r="T10" s="315" t="s">
        <v>76</v>
      </c>
      <c r="U10" s="315" t="s">
        <v>77</v>
      </c>
      <c r="V10" s="316" t="s">
        <v>78</v>
      </c>
      <c r="W10" s="314" t="s">
        <v>79</v>
      </c>
      <c r="X10" s="226"/>
    </row>
    <row r="11" spans="1:24" s="228" customFormat="1" ht="15.75">
      <c r="A11" s="34" t="s">
        <v>62</v>
      </c>
      <c r="B11" s="48">
        <f>1000/60/60</f>
        <v>0.27777777777777779</v>
      </c>
      <c r="C11" s="48">
        <v>0</v>
      </c>
      <c r="D11" s="13">
        <v>20</v>
      </c>
      <c r="E11" s="14">
        <f>B11*D11*G16/1000+C11*D11*G14</f>
        <v>277.77777777777777</v>
      </c>
      <c r="F11" s="49">
        <v>0.05</v>
      </c>
      <c r="G11" s="50">
        <v>0</v>
      </c>
      <c r="H11" s="13">
        <f>F11*I7</f>
        <v>15.445960828020802</v>
      </c>
      <c r="I11" s="13">
        <f>E11+H11*G14</f>
        <v>293.22373860579859</v>
      </c>
      <c r="O11" s="313" t="s">
        <v>62</v>
      </c>
      <c r="P11" s="317">
        <f>1000/45000*12</f>
        <v>0.26666666666666666</v>
      </c>
      <c r="Q11" s="317">
        <v>0</v>
      </c>
      <c r="R11" s="347">
        <v>15</v>
      </c>
      <c r="S11" s="347">
        <f>P11*R11*U16/1000+Q11*R11*U14</f>
        <v>200</v>
      </c>
      <c r="T11" s="350"/>
      <c r="U11" s="349"/>
      <c r="V11" s="348">
        <f>T11*W7</f>
        <v>0</v>
      </c>
      <c r="W11" s="347">
        <f>S11+V11*U14</f>
        <v>200</v>
      </c>
      <c r="X11" s="226"/>
    </row>
    <row r="12" spans="1:24" s="228" customFormat="1" ht="15.75">
      <c r="A12" s="34" t="s">
        <v>63</v>
      </c>
      <c r="B12" s="48">
        <f>1000/60/120</f>
        <v>0.1388888888888889</v>
      </c>
      <c r="C12" s="48">
        <v>0</v>
      </c>
      <c r="D12" s="13">
        <v>120</v>
      </c>
      <c r="E12" s="14">
        <f>B12*D12*G16/1000+C12*D12*G14</f>
        <v>833.33333333333337</v>
      </c>
      <c r="F12" s="49">
        <v>0.5</v>
      </c>
      <c r="G12" s="50">
        <v>2</v>
      </c>
      <c r="H12" s="13">
        <f>F12*(I7+I8)+G12*H8</f>
        <v>188.29192334073301</v>
      </c>
      <c r="I12" s="13">
        <f>E12+H12*G14</f>
        <v>1021.6252566740663</v>
      </c>
      <c r="O12" s="313" t="s">
        <v>63</v>
      </c>
      <c r="P12" s="317">
        <f>1000/60/120</f>
        <v>0.1388888888888889</v>
      </c>
      <c r="Q12" s="317">
        <v>0</v>
      </c>
      <c r="R12" s="347">
        <v>120</v>
      </c>
      <c r="S12" s="347">
        <f>P12*R12*U16/1000+Q12*R12*U14</f>
        <v>833.33333333333337</v>
      </c>
      <c r="T12" s="350"/>
      <c r="U12" s="349"/>
      <c r="V12" s="348">
        <f>T12*(W7+W8)+U12*V8</f>
        <v>0</v>
      </c>
      <c r="W12" s="347">
        <f>S12+V12*U14</f>
        <v>833.33333333333337</v>
      </c>
      <c r="X12" s="226"/>
    </row>
    <row r="13" spans="1:24" s="228" customFormat="1" ht="24">
      <c r="A13" s="437" t="s">
        <v>81</v>
      </c>
      <c r="B13" s="438"/>
      <c r="C13" s="16" t="s">
        <v>82</v>
      </c>
      <c r="D13" s="16" t="s">
        <v>83</v>
      </c>
      <c r="E13" s="16" t="s">
        <v>84</v>
      </c>
      <c r="F13" s="51" t="s">
        <v>139</v>
      </c>
      <c r="G13" s="52" t="s">
        <v>86</v>
      </c>
      <c r="H13" s="19" t="s">
        <v>87</v>
      </c>
      <c r="I13" s="61">
        <f>SUM(I11:I12)</f>
        <v>1314.848995279865</v>
      </c>
      <c r="O13" s="549" t="s">
        <v>81</v>
      </c>
      <c r="P13" s="550"/>
      <c r="Q13" s="319" t="s">
        <v>82</v>
      </c>
      <c r="R13" s="319" t="s">
        <v>83</v>
      </c>
      <c r="S13" s="319" t="s">
        <v>84</v>
      </c>
      <c r="T13" s="332" t="s">
        <v>85</v>
      </c>
      <c r="U13" s="334" t="s">
        <v>86</v>
      </c>
      <c r="V13" s="320" t="s">
        <v>87</v>
      </c>
      <c r="W13" s="321">
        <f>SUM(W11:W12)</f>
        <v>1033.3333333333335</v>
      </c>
      <c r="X13" s="226"/>
    </row>
    <row r="14" spans="1:24" s="228" customFormat="1" ht="15">
      <c r="A14" s="439"/>
      <c r="B14" s="440"/>
      <c r="C14" s="277">
        <v>0</v>
      </c>
      <c r="D14" s="277">
        <v>0.8</v>
      </c>
      <c r="E14" s="20">
        <v>0.02</v>
      </c>
      <c r="F14" s="215">
        <v>1.2999999999999999E-2</v>
      </c>
      <c r="G14" s="230">
        <v>1</v>
      </c>
      <c r="H14" s="506" t="s">
        <v>88</v>
      </c>
      <c r="I14" s="444" t="s">
        <v>140</v>
      </c>
      <c r="O14" s="551"/>
      <c r="P14" s="552"/>
      <c r="Q14" s="277">
        <v>0</v>
      </c>
      <c r="R14" s="277">
        <v>0.8</v>
      </c>
      <c r="S14" s="318">
        <v>0.02</v>
      </c>
      <c r="T14" s="310">
        <v>1.2999999999999999E-2</v>
      </c>
      <c r="U14" s="333">
        <v>1</v>
      </c>
      <c r="V14" s="567" t="s">
        <v>88</v>
      </c>
      <c r="W14" s="555" t="s">
        <v>89</v>
      </c>
      <c r="X14" s="226"/>
    </row>
    <row r="15" spans="1:24" s="228" customFormat="1" ht="24">
      <c r="A15" s="439"/>
      <c r="B15" s="440"/>
      <c r="C15" s="214" t="s">
        <v>105</v>
      </c>
      <c r="D15" s="278" t="s">
        <v>106</v>
      </c>
      <c r="E15" s="16" t="s">
        <v>90</v>
      </c>
      <c r="F15" s="19" t="s">
        <v>91</v>
      </c>
      <c r="G15" s="22" t="s">
        <v>92</v>
      </c>
      <c r="H15" s="507"/>
      <c r="I15" s="521"/>
      <c r="O15" s="551"/>
      <c r="P15" s="552"/>
      <c r="Q15" s="81" t="s">
        <v>98</v>
      </c>
      <c r="R15" s="278" t="s">
        <v>106</v>
      </c>
      <c r="S15" s="319" t="s">
        <v>90</v>
      </c>
      <c r="T15" s="320" t="s">
        <v>91</v>
      </c>
      <c r="U15" s="322" t="s">
        <v>92</v>
      </c>
      <c r="V15" s="568"/>
      <c r="W15" s="569"/>
      <c r="X15" s="226"/>
    </row>
    <row r="16" spans="1:24" s="228" customFormat="1" ht="18.75">
      <c r="A16" s="439"/>
      <c r="B16" s="440"/>
      <c r="C16" s="149">
        <f>100/2</f>
        <v>50</v>
      </c>
      <c r="D16" s="219">
        <f>(I18-H18)/I18</f>
        <v>5.5535809920765719E-2</v>
      </c>
      <c r="E16" s="279">
        <v>0</v>
      </c>
      <c r="F16" s="147">
        <v>0</v>
      </c>
      <c r="G16" s="280">
        <v>50000</v>
      </c>
      <c r="H16" s="23">
        <f>I13/G16+B9+B9*F14</f>
        <v>3.3212197467888482</v>
      </c>
      <c r="I16" s="62">
        <f>(H16/(1-D16)+C14+E14+E16/G16+C16/G16+C18*D18+D14*G9)*(1+F16)*(1+E18+F18)</f>
        <v>3.7112757175578719</v>
      </c>
      <c r="O16" s="551"/>
      <c r="P16" s="552"/>
      <c r="Q16" s="149">
        <f>100/2</f>
        <v>50</v>
      </c>
      <c r="R16" s="219">
        <f>(W18-V18)/W18</f>
        <v>2.2112299606836451E-2</v>
      </c>
      <c r="S16" s="279">
        <v>0</v>
      </c>
      <c r="T16" s="159">
        <v>0</v>
      </c>
      <c r="U16" s="280">
        <v>50000</v>
      </c>
      <c r="V16" s="323">
        <f>W13/U16+P9+P9*T14</f>
        <v>3.32940165113963</v>
      </c>
      <c r="W16" s="324">
        <f>(V16/(1-R16)+Q14+S14+S16/U16+Q16/U16+Q18*R18+R14*U9)*(1+T16)*(1+S18+T18)</f>
        <v>3.595816424277972</v>
      </c>
      <c r="X16" s="226"/>
    </row>
    <row r="17" spans="1:24" s="228" customFormat="1" ht="14.25">
      <c r="A17" s="439"/>
      <c r="B17" s="440"/>
      <c r="C17" s="51" t="s">
        <v>93</v>
      </c>
      <c r="D17" s="51" t="s">
        <v>94</v>
      </c>
      <c r="E17" s="214" t="s">
        <v>101</v>
      </c>
      <c r="F17" s="214" t="s">
        <v>102</v>
      </c>
      <c r="G17" s="214" t="s">
        <v>103</v>
      </c>
      <c r="H17" s="54" t="s">
        <v>95</v>
      </c>
      <c r="I17" s="63" t="s">
        <v>96</v>
      </c>
      <c r="O17" s="551"/>
      <c r="P17" s="552"/>
      <c r="Q17" s="332" t="s">
        <v>93</v>
      </c>
      <c r="R17" s="332" t="s">
        <v>94</v>
      </c>
      <c r="S17" s="158" t="s">
        <v>101</v>
      </c>
      <c r="T17" s="158" t="s">
        <v>102</v>
      </c>
      <c r="U17" s="158" t="s">
        <v>103</v>
      </c>
      <c r="V17" s="331" t="s">
        <v>95</v>
      </c>
      <c r="W17" s="327" t="s">
        <v>96</v>
      </c>
      <c r="X17" s="330"/>
    </row>
    <row r="18" spans="1:24" s="228" customFormat="1" ht="18.75">
      <c r="A18" s="441"/>
      <c r="B18" s="442"/>
      <c r="C18" s="216">
        <v>1</v>
      </c>
      <c r="D18" s="123">
        <v>0.02</v>
      </c>
      <c r="E18" s="144">
        <f>0.5%+0.5%</f>
        <v>0.01</v>
      </c>
      <c r="F18" s="144">
        <f>0.25%*3+0.25%*6</f>
        <v>2.2499999999999999E-2</v>
      </c>
      <c r="G18" s="231">
        <v>0.15</v>
      </c>
      <c r="H18" s="23">
        <f>(H16+C14+E14+E16/G16+C16/G16+C18*D18+D14*G9)*(1+F16)*(1+E18+F18)</f>
        <v>3.509636369034693</v>
      </c>
      <c r="I18" s="162">
        <f>J18</f>
        <v>3.716007876106195</v>
      </c>
      <c r="J18" s="425">
        <f>J20</f>
        <v>3.716007876106195</v>
      </c>
      <c r="O18" s="553"/>
      <c r="P18" s="554"/>
      <c r="Q18" s="329">
        <v>1</v>
      </c>
      <c r="R18" s="311">
        <v>0.02</v>
      </c>
      <c r="S18" s="156">
        <f>0.5%+0.5%</f>
        <v>0.01</v>
      </c>
      <c r="T18" s="156">
        <f>0.25%*3+0.25%*6</f>
        <v>2.2499999999999999E-2</v>
      </c>
      <c r="U18" s="155">
        <v>0.15</v>
      </c>
      <c r="V18" s="323">
        <f>(V16+Q14+S14+S16/U16+Q16/U16+Q18*R18+R14*U9)*(1+T16)*(1+S18+T18)</f>
        <v>3.5180841852768752</v>
      </c>
      <c r="W18" s="287">
        <f>X18</f>
        <v>3.5976361946902653</v>
      </c>
      <c r="X18" s="328">
        <v>3.5976361946902653</v>
      </c>
    </row>
    <row r="19" spans="1:24" s="357" customFormat="1" ht="32.25" customHeight="1">
      <c r="A19" s="203" t="s">
        <v>0</v>
      </c>
      <c r="B19" s="203" t="s">
        <v>107</v>
      </c>
      <c r="C19" s="203"/>
      <c r="D19" s="203" t="s">
        <v>128</v>
      </c>
      <c r="E19" s="204" t="s">
        <v>129</v>
      </c>
      <c r="F19" s="204" t="s">
        <v>130</v>
      </c>
      <c r="G19" s="204" t="s">
        <v>131</v>
      </c>
      <c r="H19" s="204" t="s">
        <v>132</v>
      </c>
      <c r="I19" s="204" t="s">
        <v>133</v>
      </c>
      <c r="J19" s="204" t="s">
        <v>134</v>
      </c>
      <c r="K19" s="363" t="s">
        <v>4</v>
      </c>
      <c r="L19" s="364" t="s">
        <v>100</v>
      </c>
      <c r="M19" s="289" t="s">
        <v>218</v>
      </c>
    </row>
    <row r="20" spans="1:24" ht="16.5">
      <c r="A20" s="84">
        <v>17</v>
      </c>
      <c r="B20" s="355">
        <v>6010413</v>
      </c>
      <c r="C20" s="356" t="s">
        <v>182</v>
      </c>
      <c r="D20" s="356" t="s">
        <v>183</v>
      </c>
      <c r="E20" s="206">
        <v>33.44</v>
      </c>
      <c r="F20" s="207">
        <v>102</v>
      </c>
      <c r="G20" s="208">
        <f t="shared" ref="G20" si="0">F20/1.13</f>
        <v>90.26548672566372</v>
      </c>
      <c r="H20" s="209">
        <v>697.53</v>
      </c>
      <c r="I20" s="295">
        <f t="shared" ref="I20" si="1">E20*G20+H20</f>
        <v>3716.007876106195</v>
      </c>
      <c r="J20" s="210">
        <f t="shared" ref="J20" si="2">I20/1000</f>
        <v>3.716007876106195</v>
      </c>
      <c r="K20" s="227">
        <v>6.2786572976879826E-2</v>
      </c>
      <c r="L20" s="362" t="s">
        <v>215</v>
      </c>
    </row>
    <row r="27" spans="1:24" ht="24">
      <c r="A27" s="428" t="s">
        <v>313</v>
      </c>
      <c r="B27" s="352" t="s">
        <v>314</v>
      </c>
      <c r="C27" s="143" t="s">
        <v>171</v>
      </c>
      <c r="D27" s="352" t="s">
        <v>315</v>
      </c>
      <c r="E27" s="143">
        <v>13.9003</v>
      </c>
      <c r="F27" s="353">
        <f t="shared" ref="F27" si="3">E27*1.13</f>
        <v>15.707338999999997</v>
      </c>
    </row>
  </sheetData>
  <mergeCells count="29">
    <mergeCell ref="O13:P18"/>
    <mergeCell ref="V14:V15"/>
    <mergeCell ref="W14:W15"/>
    <mergeCell ref="O5:O6"/>
    <mergeCell ref="P5:P6"/>
    <mergeCell ref="Q5:T6"/>
    <mergeCell ref="Q7:T7"/>
    <mergeCell ref="Q8:T8"/>
    <mergeCell ref="Q9:T9"/>
    <mergeCell ref="J1:K2"/>
    <mergeCell ref="O1:W1"/>
    <mergeCell ref="P3:T3"/>
    <mergeCell ref="V3:W3"/>
    <mergeCell ref="P4:T4"/>
    <mergeCell ref="V4:W4"/>
    <mergeCell ref="I14:I15"/>
    <mergeCell ref="A1:I1"/>
    <mergeCell ref="B3:F3"/>
    <mergeCell ref="H3:I3"/>
    <mergeCell ref="B4:F4"/>
    <mergeCell ref="H4:I4"/>
    <mergeCell ref="A5:A6"/>
    <mergeCell ref="B5:B6"/>
    <mergeCell ref="C5:F6"/>
    <mergeCell ref="C7:F7"/>
    <mergeCell ref="C8:F8"/>
    <mergeCell ref="C9:F9"/>
    <mergeCell ref="A13:B18"/>
    <mergeCell ref="H14:H15"/>
  </mergeCells>
  <phoneticPr fontId="7" type="noConversion"/>
  <conditionalFormatting sqref="I20:L20">
    <cfRule type="expression" dxfId="5" priority="1">
      <formula>AND(I20=#REF!,I20&lt;&gt;"",I20&lt;&gt;0)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4ADE-ABD2-4D41-8028-C0C7FAEB7B0C}">
  <sheetPr codeName="Sheet166"/>
  <dimension ref="A1:HU61"/>
  <sheetViews>
    <sheetView workbookViewId="0">
      <selection activeCell="T27" sqref="T27:U27"/>
    </sheetView>
  </sheetViews>
  <sheetFormatPr defaultRowHeight="14.25"/>
  <cols>
    <col min="3" max="9" width="14.625" customWidth="1"/>
    <col min="21" max="21" width="12.25" customWidth="1"/>
  </cols>
  <sheetData>
    <row r="1" spans="1:24" ht="25.5" customHeight="1">
      <c r="A1" s="457" t="s">
        <v>6</v>
      </c>
      <c r="B1" s="457"/>
      <c r="C1" s="457"/>
      <c r="D1" s="457"/>
      <c r="E1" s="457"/>
      <c r="F1" s="457"/>
      <c r="G1" s="457"/>
      <c r="H1" s="457"/>
      <c r="I1" s="457"/>
      <c r="J1" s="505" t="s">
        <v>297</v>
      </c>
      <c r="K1" s="505"/>
      <c r="L1" s="239"/>
      <c r="M1" s="457" t="s">
        <v>6</v>
      </c>
      <c r="N1" s="457"/>
      <c r="O1" s="457"/>
      <c r="P1" s="457"/>
      <c r="Q1" s="457"/>
      <c r="R1" s="457"/>
      <c r="S1" s="457"/>
      <c r="T1" s="457"/>
      <c r="U1" s="457"/>
      <c r="V1" s="505" t="s">
        <v>125</v>
      </c>
      <c r="W1" s="505"/>
      <c r="X1" s="239"/>
    </row>
    <row r="2" spans="1:24" ht="25.5">
      <c r="A2" s="1"/>
      <c r="B2" s="400"/>
      <c r="C2" s="400"/>
      <c r="D2" s="400"/>
      <c r="E2" s="400"/>
      <c r="F2" s="400"/>
      <c r="G2" s="400"/>
      <c r="H2" s="367" t="s">
        <v>7</v>
      </c>
      <c r="I2" s="409" t="s">
        <v>273</v>
      </c>
      <c r="J2" s="505"/>
      <c r="K2" s="505"/>
      <c r="L2" s="239" t="s">
        <v>298</v>
      </c>
      <c r="M2" s="1"/>
      <c r="N2" s="400"/>
      <c r="O2" s="400"/>
      <c r="P2" s="400"/>
      <c r="Q2" s="400"/>
      <c r="R2" s="400"/>
      <c r="S2" s="400"/>
      <c r="T2" s="367" t="s">
        <v>7</v>
      </c>
      <c r="U2" s="416" t="s">
        <v>273</v>
      </c>
      <c r="V2" s="505"/>
      <c r="W2" s="505"/>
      <c r="X2" s="239" t="s">
        <v>119</v>
      </c>
    </row>
    <row r="3" spans="1:24">
      <c r="A3" s="3" t="s">
        <v>8</v>
      </c>
      <c r="B3" s="454"/>
      <c r="C3" s="455"/>
      <c r="D3" s="455"/>
      <c r="E3" s="455"/>
      <c r="F3" s="456"/>
      <c r="G3" s="3" t="s">
        <v>9</v>
      </c>
      <c r="H3" s="458">
        <v>46106</v>
      </c>
      <c r="I3" s="459"/>
      <c r="M3" s="3" t="s">
        <v>8</v>
      </c>
      <c r="N3" s="454"/>
      <c r="O3" s="455"/>
      <c r="P3" s="455"/>
      <c r="Q3" s="455"/>
      <c r="R3" s="456"/>
      <c r="S3" s="3" t="s">
        <v>9</v>
      </c>
      <c r="T3" s="458">
        <v>46106</v>
      </c>
      <c r="U3" s="459"/>
      <c r="V3" s="65"/>
      <c r="W3" s="65"/>
      <c r="X3" s="65"/>
    </row>
    <row r="4" spans="1:24" ht="16.5" customHeight="1">
      <c r="A4" s="3" t="s">
        <v>10</v>
      </c>
      <c r="B4" s="531" t="s">
        <v>274</v>
      </c>
      <c r="C4" s="531"/>
      <c r="D4" s="531"/>
      <c r="E4" s="531"/>
      <c r="F4" s="531"/>
      <c r="G4" s="3" t="s">
        <v>11</v>
      </c>
      <c r="H4" s="532" t="s">
        <v>275</v>
      </c>
      <c r="I4" s="460"/>
      <c r="M4" s="3" t="s">
        <v>10</v>
      </c>
      <c r="N4" s="531" t="s">
        <v>274</v>
      </c>
      <c r="O4" s="531"/>
      <c r="P4" s="531"/>
      <c r="Q4" s="531"/>
      <c r="R4" s="531"/>
      <c r="S4" s="3" t="s">
        <v>11</v>
      </c>
      <c r="T4" s="532" t="s">
        <v>275</v>
      </c>
      <c r="U4" s="460"/>
      <c r="V4" s="284" t="s">
        <v>289</v>
      </c>
      <c r="W4" s="65"/>
      <c r="X4" s="65"/>
    </row>
    <row r="5" spans="1:24">
      <c r="A5" s="461" t="s">
        <v>0</v>
      </c>
      <c r="B5" s="461" t="s">
        <v>12</v>
      </c>
      <c r="C5" s="461" t="s">
        <v>1</v>
      </c>
      <c r="D5" s="461"/>
      <c r="E5" s="461"/>
      <c r="F5" s="461"/>
      <c r="G5" s="3" t="s">
        <v>13</v>
      </c>
      <c r="H5" s="3" t="s">
        <v>3</v>
      </c>
      <c r="I5" s="3" t="s">
        <v>14</v>
      </c>
      <c r="M5" s="461" t="s">
        <v>0</v>
      </c>
      <c r="N5" s="461" t="s">
        <v>12</v>
      </c>
      <c r="O5" s="461" t="s">
        <v>1</v>
      </c>
      <c r="P5" s="461"/>
      <c r="Q5" s="461"/>
      <c r="R5" s="461"/>
      <c r="S5" s="3" t="s">
        <v>13</v>
      </c>
      <c r="T5" s="3" t="s">
        <v>3</v>
      </c>
      <c r="U5" s="119" t="s">
        <v>14</v>
      </c>
      <c r="V5" s="65"/>
      <c r="W5" s="65"/>
      <c r="X5" s="65"/>
    </row>
    <row r="6" spans="1:24" ht="15.75">
      <c r="A6" s="461"/>
      <c r="B6" s="461"/>
      <c r="C6" s="461"/>
      <c r="D6" s="461"/>
      <c r="E6" s="461"/>
      <c r="F6" s="461"/>
      <c r="G6" s="3" t="s">
        <v>15</v>
      </c>
      <c r="H6" s="233" t="s">
        <v>16</v>
      </c>
      <c r="I6" s="233" t="s">
        <v>17</v>
      </c>
      <c r="M6" s="461"/>
      <c r="N6" s="461"/>
      <c r="O6" s="461"/>
      <c r="P6" s="461"/>
      <c r="Q6" s="461"/>
      <c r="R6" s="461"/>
      <c r="S6" s="3" t="s">
        <v>15</v>
      </c>
      <c r="T6" s="233" t="s">
        <v>16</v>
      </c>
      <c r="U6" s="417" t="s">
        <v>17</v>
      </c>
      <c r="V6" s="65"/>
      <c r="W6" s="65"/>
      <c r="X6" s="65"/>
    </row>
    <row r="7" spans="1:24" ht="15.75">
      <c r="A7" s="4" t="s">
        <v>18</v>
      </c>
      <c r="B7" s="3" t="s">
        <v>19</v>
      </c>
      <c r="C7" s="545" t="s">
        <v>276</v>
      </c>
      <c r="D7" s="546"/>
      <c r="E7" s="546"/>
      <c r="F7" s="547"/>
      <c r="G7" s="5">
        <f>0.179^2*0.7854*8.89*19/10*1.02</f>
        <v>0.43356327942034811</v>
      </c>
      <c r="H7" s="67">
        <f>(J7+1055)/1000/1.13+0.8</f>
        <v>91.830973451327438</v>
      </c>
      <c r="I7" s="234">
        <f>G7*H7</f>
        <v>39.814538001920447</v>
      </c>
      <c r="J7" s="228">
        <v>101810</v>
      </c>
      <c r="M7" s="4" t="s">
        <v>18</v>
      </c>
      <c r="N7" s="3" t="s">
        <v>19</v>
      </c>
      <c r="O7" s="545" t="s">
        <v>276</v>
      </c>
      <c r="P7" s="546"/>
      <c r="Q7" s="546"/>
      <c r="R7" s="547"/>
      <c r="S7" s="5">
        <f>0.179^2*0.7854*8.89*19/10*1.02</f>
        <v>0.43356327942034811</v>
      </c>
      <c r="T7" s="67">
        <f>(V7+1055)/1000/1.13+1.29</f>
        <v>94.259026548672594</v>
      </c>
      <c r="U7" s="119">
        <f>S7*T7</f>
        <v>40.867252665412146</v>
      </c>
      <c r="V7" s="192">
        <v>104000</v>
      </c>
      <c r="W7" s="65"/>
      <c r="X7" s="65"/>
    </row>
    <row r="8" spans="1:24" ht="17.25">
      <c r="A8" s="4">
        <v>2</v>
      </c>
      <c r="B8" s="3" t="s">
        <v>20</v>
      </c>
      <c r="C8" s="545" t="s">
        <v>317</v>
      </c>
      <c r="D8" s="546"/>
      <c r="E8" s="546"/>
      <c r="F8" s="547"/>
      <c r="G8" s="5">
        <f>(1.53^2-0.9^2*0.85)*0.7854*1.35/10</f>
        <v>0.17520231960000002</v>
      </c>
      <c r="H8" s="236">
        <v>15.929</v>
      </c>
      <c r="I8" s="234">
        <f>G8*H8</f>
        <v>2.7907977489084002</v>
      </c>
      <c r="M8" s="4">
        <v>2</v>
      </c>
      <c r="N8" s="3" t="s">
        <v>20</v>
      </c>
      <c r="O8" s="545" t="s">
        <v>277</v>
      </c>
      <c r="P8" s="546"/>
      <c r="Q8" s="546"/>
      <c r="R8" s="547"/>
      <c r="S8" s="5">
        <f>(1.53^2-0.9^2*0.85)*0.7854*1.35/10</f>
        <v>0.17520231960000002</v>
      </c>
      <c r="T8" s="413">
        <v>15.929</v>
      </c>
      <c r="U8" s="119">
        <f>S8*T8</f>
        <v>2.7907977489084002</v>
      </c>
      <c r="V8" s="192"/>
      <c r="W8" s="65"/>
      <c r="X8" s="65"/>
    </row>
    <row r="9" spans="1:24" ht="15.75">
      <c r="A9" s="368" t="s">
        <v>21</v>
      </c>
      <c r="B9" s="43">
        <f>I9/100</f>
        <v>0.42605335750828849</v>
      </c>
      <c r="C9" s="436" t="s">
        <v>22</v>
      </c>
      <c r="D9" s="436"/>
      <c r="E9" s="436"/>
      <c r="F9" s="436"/>
      <c r="G9" s="120">
        <f>SUM(G7:G8)/100</f>
        <v>6.0876559902034808E-3</v>
      </c>
      <c r="H9" s="44" t="s">
        <v>23</v>
      </c>
      <c r="I9" s="60">
        <f>SUM(I7:I8)</f>
        <v>42.60533575082885</v>
      </c>
      <c r="J9" s="335">
        <f>B9/I19</f>
        <v>0.8117856416235687</v>
      </c>
      <c r="M9" s="368" t="s">
        <v>21</v>
      </c>
      <c r="N9" s="43">
        <f>U9/100</f>
        <v>0.43658050414320548</v>
      </c>
      <c r="O9" s="436" t="s">
        <v>22</v>
      </c>
      <c r="P9" s="436"/>
      <c r="Q9" s="436"/>
      <c r="R9" s="436"/>
      <c r="S9" s="120">
        <f>SUM(S7:S8)/100</f>
        <v>6.0876559902034808E-3</v>
      </c>
      <c r="T9" s="44" t="s">
        <v>23</v>
      </c>
      <c r="U9" s="118">
        <f>SUM(U7:U8)</f>
        <v>43.658050414320549</v>
      </c>
      <c r="V9" s="370">
        <f>N9/U19</f>
        <v>0.7875468143365123</v>
      </c>
      <c r="W9" s="65"/>
      <c r="X9" s="65"/>
    </row>
    <row r="10" spans="1:24" ht="36">
      <c r="A10" s="9" t="s">
        <v>12</v>
      </c>
      <c r="B10" s="10" t="s">
        <v>24</v>
      </c>
      <c r="C10" s="10" t="s">
        <v>136</v>
      </c>
      <c r="D10" s="9" t="s">
        <v>25</v>
      </c>
      <c r="E10" s="9" t="s">
        <v>26</v>
      </c>
      <c r="F10" s="10" t="s">
        <v>27</v>
      </c>
      <c r="G10" s="10" t="s">
        <v>28</v>
      </c>
      <c r="H10" s="11" t="s">
        <v>29</v>
      </c>
      <c r="I10" s="9" t="s">
        <v>30</v>
      </c>
      <c r="M10" s="9" t="s">
        <v>12</v>
      </c>
      <c r="N10" s="10" t="s">
        <v>24</v>
      </c>
      <c r="O10" s="10" t="s">
        <v>136</v>
      </c>
      <c r="P10" s="9" t="s">
        <v>25</v>
      </c>
      <c r="Q10" s="9" t="s">
        <v>26</v>
      </c>
      <c r="R10" s="10" t="s">
        <v>27</v>
      </c>
      <c r="S10" s="10" t="s">
        <v>28</v>
      </c>
      <c r="T10" s="11" t="s">
        <v>29</v>
      </c>
      <c r="U10" s="418" t="s">
        <v>30</v>
      </c>
      <c r="V10" s="65"/>
      <c r="W10" s="65"/>
      <c r="X10" s="65"/>
    </row>
    <row r="11" spans="1:24" ht="15.75">
      <c r="A11" s="3" t="s">
        <v>19</v>
      </c>
      <c r="B11" s="235">
        <v>0.4</v>
      </c>
      <c r="C11" s="12">
        <v>0</v>
      </c>
      <c r="D11" s="70">
        <v>15</v>
      </c>
      <c r="E11" s="70">
        <f>B11*D11*G17/1000+C11*D11*G15</f>
        <v>300</v>
      </c>
      <c r="F11" s="70"/>
      <c r="G11" s="70"/>
      <c r="H11" s="72">
        <f>F11*I7</f>
        <v>0</v>
      </c>
      <c r="I11" s="70">
        <f>E11+H11*G15</f>
        <v>300</v>
      </c>
      <c r="M11" s="3" t="s">
        <v>19</v>
      </c>
      <c r="N11" s="235">
        <v>0.4</v>
      </c>
      <c r="O11" s="12">
        <v>0</v>
      </c>
      <c r="P11" s="70">
        <v>15</v>
      </c>
      <c r="Q11" s="70">
        <f>N11*P11*S17/1000+O11*P11*S15</f>
        <v>300</v>
      </c>
      <c r="R11" s="70">
        <v>0.1</v>
      </c>
      <c r="S11" s="70">
        <v>0</v>
      </c>
      <c r="T11" s="72">
        <f>R11*U7</f>
        <v>4.0867252665412144</v>
      </c>
      <c r="U11" s="119">
        <f>Q11+T11*S15</f>
        <v>304.08672526654124</v>
      </c>
      <c r="V11" s="65"/>
      <c r="W11" s="65"/>
      <c r="X11" s="65"/>
    </row>
    <row r="12" spans="1:24" ht="15.75">
      <c r="A12" s="3" t="s">
        <v>20</v>
      </c>
      <c r="B12" s="235">
        <f>1000/60/160</f>
        <v>0.10416666666666667</v>
      </c>
      <c r="C12" s="12">
        <v>0</v>
      </c>
      <c r="D12" s="70">
        <v>120</v>
      </c>
      <c r="E12" s="70">
        <f>B12*D12*G17/1000+C12*D12*G15</f>
        <v>625</v>
      </c>
      <c r="F12" s="70"/>
      <c r="G12" s="70"/>
      <c r="H12" s="72">
        <f>F12*I9+G12*H8</f>
        <v>0</v>
      </c>
      <c r="I12" s="70">
        <f>E12+H12*G15</f>
        <v>625</v>
      </c>
      <c r="M12" s="3" t="s">
        <v>20</v>
      </c>
      <c r="N12" s="235">
        <f>1000/60/160</f>
        <v>0.10416666666666667</v>
      </c>
      <c r="O12" s="12">
        <v>0</v>
      </c>
      <c r="P12" s="70">
        <v>120</v>
      </c>
      <c r="Q12" s="70">
        <f>N12*P12*S17/1000+O12*P12*S15</f>
        <v>625</v>
      </c>
      <c r="R12" s="70">
        <v>0.5</v>
      </c>
      <c r="S12" s="70">
        <v>5</v>
      </c>
      <c r="T12" s="72">
        <f>R12*U9+S12*T8</f>
        <v>101.47402520716027</v>
      </c>
      <c r="U12" s="119">
        <f>Q12+T12*S15</f>
        <v>726.47402520716025</v>
      </c>
      <c r="V12" s="65"/>
      <c r="W12" s="65"/>
      <c r="X12" s="65"/>
    </row>
    <row r="13" spans="1:24" ht="15.75">
      <c r="A13" s="3" t="s">
        <v>270</v>
      </c>
      <c r="B13" s="235">
        <f>1000/60/250</f>
        <v>6.6666666666666666E-2</v>
      </c>
      <c r="C13" s="12">
        <v>0</v>
      </c>
      <c r="D13" s="70">
        <v>50</v>
      </c>
      <c r="E13" s="70">
        <f>B13*D13*G17/1000+C13*D13*G15</f>
        <v>166.66666666666669</v>
      </c>
      <c r="F13" s="70"/>
      <c r="G13" s="72"/>
      <c r="H13" s="72"/>
      <c r="I13" s="70">
        <f>E13+H13*G15</f>
        <v>166.66666666666669</v>
      </c>
      <c r="M13" s="3" t="s">
        <v>270</v>
      </c>
      <c r="N13" s="235">
        <f>1000/60/250</f>
        <v>6.6666666666666666E-2</v>
      </c>
      <c r="O13" s="12">
        <v>0</v>
      </c>
      <c r="P13" s="70">
        <v>50</v>
      </c>
      <c r="Q13" s="70">
        <f>N13*P13*S17/1000+O13*P13*S15</f>
        <v>166.66666666666669</v>
      </c>
      <c r="R13" s="70"/>
      <c r="S13" s="72"/>
      <c r="T13" s="72"/>
      <c r="U13" s="119">
        <f>Q13+T13*S15</f>
        <v>166.66666666666669</v>
      </c>
      <c r="V13" s="65"/>
      <c r="W13" s="65"/>
      <c r="X13" s="65"/>
    </row>
    <row r="14" spans="1:24" ht="24">
      <c r="A14" s="437" t="s">
        <v>31</v>
      </c>
      <c r="B14" s="438"/>
      <c r="C14" s="16" t="s">
        <v>32</v>
      </c>
      <c r="D14" s="16" t="s">
        <v>33</v>
      </c>
      <c r="E14" s="16" t="s">
        <v>34</v>
      </c>
      <c r="F14" s="51" t="s">
        <v>144</v>
      </c>
      <c r="G14" s="52" t="s">
        <v>35</v>
      </c>
      <c r="H14" s="19" t="s">
        <v>36</v>
      </c>
      <c r="I14" s="61">
        <f>SUM(I11:I13)</f>
        <v>1091.6666666666667</v>
      </c>
      <c r="M14" s="437" t="s">
        <v>31</v>
      </c>
      <c r="N14" s="438"/>
      <c r="O14" s="16" t="s">
        <v>32</v>
      </c>
      <c r="P14" s="16" t="s">
        <v>33</v>
      </c>
      <c r="Q14" s="16" t="s">
        <v>34</v>
      </c>
      <c r="R14" s="51" t="s">
        <v>144</v>
      </c>
      <c r="S14" s="52" t="s">
        <v>35</v>
      </c>
      <c r="T14" s="19" t="s">
        <v>36</v>
      </c>
      <c r="U14" s="115">
        <f>SUM(U11:U13)</f>
        <v>1197.2274171403683</v>
      </c>
      <c r="V14" s="65"/>
      <c r="W14" s="65"/>
      <c r="X14" s="65"/>
    </row>
    <row r="15" spans="1:24" ht="15" customHeight="1">
      <c r="A15" s="439"/>
      <c r="B15" s="440"/>
      <c r="C15" s="277">
        <v>0</v>
      </c>
      <c r="D15" s="277">
        <v>0.8</v>
      </c>
      <c r="E15" s="20">
        <v>7.0000000000000001E-3</v>
      </c>
      <c r="F15" s="111">
        <v>0.02</v>
      </c>
      <c r="G15" s="53">
        <v>1</v>
      </c>
      <c r="H15" s="443" t="s">
        <v>37</v>
      </c>
      <c r="I15" s="444" t="s">
        <v>137</v>
      </c>
      <c r="M15" s="439"/>
      <c r="N15" s="440"/>
      <c r="O15" s="277">
        <v>0</v>
      </c>
      <c r="P15" s="277">
        <v>0.8</v>
      </c>
      <c r="Q15" s="20">
        <v>7.0000000000000001E-3</v>
      </c>
      <c r="R15" s="111">
        <v>0.02</v>
      </c>
      <c r="S15" s="53">
        <v>1</v>
      </c>
      <c r="T15" s="443" t="s">
        <v>37</v>
      </c>
      <c r="U15" s="479" t="s">
        <v>137</v>
      </c>
      <c r="V15" s="65"/>
      <c r="W15" s="65"/>
      <c r="X15" s="65"/>
    </row>
    <row r="16" spans="1:24" ht="24">
      <c r="A16" s="439"/>
      <c r="B16" s="440"/>
      <c r="C16" s="52" t="s">
        <v>31</v>
      </c>
      <c r="D16" s="21" t="s">
        <v>38</v>
      </c>
      <c r="E16" s="16" t="s">
        <v>39</v>
      </c>
      <c r="F16" s="19" t="s">
        <v>40</v>
      </c>
      <c r="G16" s="22" t="s">
        <v>41</v>
      </c>
      <c r="H16" s="443"/>
      <c r="I16" s="445"/>
      <c r="J16" s="26" t="s">
        <v>351</v>
      </c>
      <c r="K16" s="26" t="s">
        <v>352</v>
      </c>
      <c r="M16" s="439"/>
      <c r="N16" s="440"/>
      <c r="O16" s="214" t="s">
        <v>105</v>
      </c>
      <c r="P16" s="278" t="s">
        <v>106</v>
      </c>
      <c r="Q16" s="16" t="s">
        <v>39</v>
      </c>
      <c r="R16" s="19" t="s">
        <v>40</v>
      </c>
      <c r="S16" s="22" t="s">
        <v>41</v>
      </c>
      <c r="T16" s="443"/>
      <c r="U16" s="480"/>
      <c r="V16" s="65"/>
      <c r="W16" s="65"/>
      <c r="X16" s="65"/>
    </row>
    <row r="17" spans="1:229" ht="18.75">
      <c r="A17" s="439"/>
      <c r="B17" s="440"/>
      <c r="C17" s="149">
        <f>100/2</f>
        <v>50</v>
      </c>
      <c r="D17" s="112">
        <v>3.5000000000000003E-2</v>
      </c>
      <c r="E17" s="279">
        <v>0</v>
      </c>
      <c r="F17" s="147">
        <v>0</v>
      </c>
      <c r="G17" s="280">
        <v>50000</v>
      </c>
      <c r="H17" s="23">
        <f>I14/G17+B9+B9*F15</f>
        <v>0.45640775799178757</v>
      </c>
      <c r="I17" s="62">
        <f>(H17/(1-D17)+C15+E15+E17/G17+C17/G17+C19*D19+D15*G9)*(1+F17)*(1+E19+F19)</f>
        <v>0.52227105682875852</v>
      </c>
      <c r="J17">
        <v>0.54594247787610617</v>
      </c>
      <c r="K17" s="274">
        <f>I19/J17-1</f>
        <v>-3.8662817924177473E-2</v>
      </c>
      <c r="M17" s="439"/>
      <c r="N17" s="440"/>
      <c r="O17" s="366">
        <f>200/3</f>
        <v>66.666666666666671</v>
      </c>
      <c r="P17" s="219">
        <v>0.06</v>
      </c>
      <c r="Q17" s="279">
        <v>0</v>
      </c>
      <c r="R17" s="147">
        <v>0</v>
      </c>
      <c r="S17" s="280">
        <v>50000</v>
      </c>
      <c r="T17" s="23">
        <f>U14/S17+N9+N9*R15</f>
        <v>0.46925666256887694</v>
      </c>
      <c r="U17" s="116">
        <f>(T17/(1-P17)+O15+Q15+Q17/S17+O17/S17+O19*P19+P15*S9)*(1+R17)*(1+Q19+R19)</f>
        <v>0.54971608551709117</v>
      </c>
      <c r="V17" s="421">
        <f>10000000/12</f>
        <v>833333.33333333337</v>
      </c>
      <c r="W17" s="423" t="s">
        <v>296</v>
      </c>
      <c r="X17" s="65"/>
    </row>
    <row r="18" spans="1:229">
      <c r="A18" s="439"/>
      <c r="B18" s="440"/>
      <c r="C18" s="51" t="s">
        <v>42</v>
      </c>
      <c r="D18" s="51" t="s">
        <v>43</v>
      </c>
      <c r="E18" s="214" t="s">
        <v>101</v>
      </c>
      <c r="F18" s="214" t="s">
        <v>102</v>
      </c>
      <c r="G18" s="214" t="s">
        <v>103</v>
      </c>
      <c r="H18" s="54" t="s">
        <v>44</v>
      </c>
      <c r="I18" s="63" t="s">
        <v>45</v>
      </c>
      <c r="J18" s="26" t="s">
        <v>104</v>
      </c>
      <c r="M18" s="439"/>
      <c r="N18" s="440"/>
      <c r="O18" s="51" t="s">
        <v>42</v>
      </c>
      <c r="P18" s="51" t="s">
        <v>43</v>
      </c>
      <c r="Q18" s="214" t="s">
        <v>101</v>
      </c>
      <c r="R18" s="214" t="s">
        <v>102</v>
      </c>
      <c r="S18" s="214" t="s">
        <v>103</v>
      </c>
      <c r="T18" s="54" t="s">
        <v>44</v>
      </c>
      <c r="U18" s="117" t="s">
        <v>45</v>
      </c>
      <c r="V18" s="65"/>
      <c r="W18" s="65"/>
      <c r="X18" s="65"/>
    </row>
    <row r="19" spans="1:229" ht="18.75">
      <c r="A19" s="441"/>
      <c r="B19" s="442"/>
      <c r="C19" s="55">
        <v>1</v>
      </c>
      <c r="D19" s="56">
        <v>0.02</v>
      </c>
      <c r="E19" s="144">
        <f>0.5%+0.5%</f>
        <v>0.01</v>
      </c>
      <c r="F19" s="144">
        <f>0.25%*3+0.25%*6</f>
        <v>2.2499999999999999E-2</v>
      </c>
      <c r="G19" s="231">
        <v>0.15</v>
      </c>
      <c r="H19" s="23">
        <f>(H17+C15+E15+E17/G17+C17/G17+C19*D19+D15*G9)*(1+F17)*(1+E19+F19)</f>
        <v>0.50517941397442878</v>
      </c>
      <c r="I19" s="62">
        <f>I17+(I17-H19)*G19</f>
        <v>0.52483480325690801</v>
      </c>
      <c r="J19" s="432" t="s">
        <v>343</v>
      </c>
      <c r="K19" s="274">
        <f>I19/J19-1</f>
        <v>4.9686401496239929E-2</v>
      </c>
      <c r="M19" s="441"/>
      <c r="N19" s="442"/>
      <c r="O19" s="55">
        <v>1</v>
      </c>
      <c r="P19" s="56">
        <v>0.02</v>
      </c>
      <c r="Q19" s="144">
        <f>0.5%+0.5%</f>
        <v>0.01</v>
      </c>
      <c r="R19" s="144">
        <f>0.25%*3+0.25%*6</f>
        <v>2.2499999999999999E-2</v>
      </c>
      <c r="S19" s="231">
        <v>0.15</v>
      </c>
      <c r="T19" s="23">
        <f>(T17+O15+Q15+Q17/S17+O17/S17+O19*P19+P15*S9)*(1+R17)*(1+Q19+R19)</f>
        <v>0.51879007461694016</v>
      </c>
      <c r="U19" s="116">
        <f>U17+(U17-T19)*S19</f>
        <v>0.55435498715211384</v>
      </c>
      <c r="V19" s="370" t="e">
        <f>U19/AJ19-1</f>
        <v>#DIV/0!</v>
      </c>
      <c r="W19" s="65"/>
      <c r="X19" s="65"/>
    </row>
    <row r="20" spans="1:229" s="202" customFormat="1" ht="49.5">
      <c r="A20" s="203" t="s">
        <v>319</v>
      </c>
      <c r="B20" s="203" t="s">
        <v>107</v>
      </c>
      <c r="C20" s="203"/>
      <c r="D20" s="203" t="s">
        <v>128</v>
      </c>
      <c r="E20" s="204" t="s">
        <v>129</v>
      </c>
      <c r="F20" s="204" t="s">
        <v>130</v>
      </c>
      <c r="G20" s="204" t="s">
        <v>131</v>
      </c>
      <c r="H20" s="204" t="s">
        <v>132</v>
      </c>
      <c r="I20" s="204" t="s">
        <v>133</v>
      </c>
      <c r="J20" s="204" t="s">
        <v>134</v>
      </c>
      <c r="K20" s="429" t="s">
        <v>135</v>
      </c>
      <c r="L20" s="204" t="s">
        <v>2</v>
      </c>
      <c r="M20" s="211" t="s">
        <v>4</v>
      </c>
      <c r="N20" s="211" t="s">
        <v>5</v>
      </c>
    </row>
    <row r="21" spans="1:229" s="205" customFormat="1" ht="79.5" customHeight="1">
      <c r="A21" s="221">
        <v>1</v>
      </c>
      <c r="B21" s="222" t="s">
        <v>97</v>
      </c>
      <c r="C21" s="294" t="s">
        <v>301</v>
      </c>
      <c r="D21" s="294" t="s">
        <v>302</v>
      </c>
      <c r="E21" s="206">
        <v>4.34</v>
      </c>
      <c r="F21" s="210">
        <v>101.81</v>
      </c>
      <c r="G21" s="208">
        <f>F21/1.13</f>
        <v>90.097345132743371</v>
      </c>
      <c r="H21" s="209">
        <v>154.91999999999999</v>
      </c>
      <c r="I21" s="295">
        <f>E21*G21+H21</f>
        <v>545.94247787610618</v>
      </c>
      <c r="J21" s="210">
        <f>I21/1000</f>
        <v>0.54594247787610617</v>
      </c>
      <c r="K21" s="211" t="s">
        <v>187</v>
      </c>
      <c r="L21" s="211" t="s">
        <v>294</v>
      </c>
      <c r="M21" s="218">
        <v>0.06</v>
      </c>
      <c r="N21" s="218">
        <v>0.7875468143365123</v>
      </c>
      <c r="O21" s="296">
        <f>J21*1.13</f>
        <v>0.61691499999999988</v>
      </c>
      <c r="P21" s="296">
        <v>0.55435498715211384</v>
      </c>
      <c r="Q21" s="296">
        <f>P21-J21</f>
        <v>8.4125092760076736E-3</v>
      </c>
      <c r="R21" s="296">
        <f>Q21*1000</f>
        <v>8.4125092760076736</v>
      </c>
      <c r="S21" s="202"/>
      <c r="T21" s="202"/>
      <c r="U21" s="202"/>
      <c r="V21" s="202"/>
      <c r="W21" s="202"/>
      <c r="X21" s="202"/>
      <c r="Y21" s="202"/>
      <c r="Z21" s="202"/>
      <c r="AA21" s="202"/>
      <c r="AB21" s="202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/>
      <c r="AS21" s="202"/>
      <c r="AT21" s="202"/>
      <c r="AU21" s="202"/>
      <c r="AV21" s="202"/>
      <c r="AW21" s="202"/>
      <c r="AX21" s="202"/>
      <c r="AY21" s="202"/>
      <c r="AZ21" s="202"/>
      <c r="BA21" s="202"/>
      <c r="BB21" s="202"/>
      <c r="BC21" s="202"/>
      <c r="BD21" s="202"/>
      <c r="BE21" s="202"/>
      <c r="BF21" s="202"/>
      <c r="BG21" s="202"/>
      <c r="BH21" s="202"/>
      <c r="BI21" s="202"/>
      <c r="BJ21" s="202"/>
      <c r="BK21" s="202"/>
      <c r="BL21" s="202"/>
      <c r="BM21" s="202"/>
      <c r="BN21" s="202"/>
      <c r="BO21" s="202"/>
      <c r="BP21" s="202"/>
      <c r="BQ21" s="202"/>
      <c r="BR21" s="202"/>
      <c r="BS21" s="202"/>
      <c r="BT21" s="202"/>
      <c r="BU21" s="202"/>
      <c r="BV21" s="202"/>
      <c r="BW21" s="202"/>
      <c r="BX21" s="202"/>
      <c r="BY21" s="202"/>
      <c r="BZ21" s="202"/>
      <c r="CA21" s="202"/>
      <c r="CB21" s="202"/>
      <c r="CC21" s="202"/>
      <c r="CD21" s="202"/>
      <c r="CE21" s="202"/>
      <c r="CF21" s="202"/>
      <c r="CG21" s="202"/>
      <c r="CH21" s="202"/>
      <c r="CI21" s="202"/>
      <c r="CJ21" s="202"/>
      <c r="CK21" s="202"/>
      <c r="CL21" s="202"/>
      <c r="CM21" s="202"/>
      <c r="CN21" s="202"/>
      <c r="CO21" s="202"/>
      <c r="CP21" s="202"/>
      <c r="CQ21" s="202"/>
      <c r="CR21" s="202"/>
      <c r="CS21" s="202"/>
      <c r="CT21" s="202"/>
      <c r="CU21" s="202"/>
      <c r="CV21" s="202"/>
      <c r="CW21" s="202"/>
      <c r="CX21" s="202"/>
      <c r="CY21" s="202"/>
      <c r="CZ21" s="202"/>
      <c r="DA21" s="202"/>
      <c r="DB21" s="202"/>
      <c r="DC21" s="202"/>
      <c r="DD21" s="202"/>
      <c r="DE21" s="202"/>
      <c r="DF21" s="202"/>
      <c r="DG21" s="202"/>
      <c r="DH21" s="202"/>
      <c r="DI21" s="202"/>
      <c r="DJ21" s="202"/>
      <c r="DK21" s="202"/>
      <c r="DL21" s="202"/>
      <c r="DM21" s="202"/>
      <c r="DN21" s="202"/>
      <c r="DO21" s="202"/>
      <c r="DP21" s="202"/>
      <c r="DQ21" s="202"/>
      <c r="DR21" s="202"/>
      <c r="DS21" s="202"/>
      <c r="DT21" s="202"/>
      <c r="DU21" s="202"/>
      <c r="DV21" s="202"/>
      <c r="DW21" s="202"/>
      <c r="DX21" s="202"/>
      <c r="DY21" s="202"/>
      <c r="DZ21" s="202"/>
      <c r="EA21" s="202"/>
      <c r="EB21" s="202"/>
      <c r="EC21" s="202"/>
      <c r="ED21" s="202"/>
      <c r="EE21" s="202"/>
      <c r="EF21" s="202"/>
      <c r="EG21" s="202"/>
      <c r="EH21" s="202"/>
      <c r="EI21" s="202"/>
      <c r="EJ21" s="202"/>
      <c r="EK21" s="202"/>
      <c r="EL21" s="202"/>
      <c r="EM21" s="202"/>
      <c r="EN21" s="202"/>
      <c r="EO21" s="202"/>
      <c r="EP21" s="202"/>
      <c r="EQ21" s="202"/>
      <c r="ER21" s="202"/>
      <c r="ES21" s="202"/>
      <c r="ET21" s="202"/>
      <c r="EU21" s="202"/>
      <c r="EV21" s="202"/>
      <c r="EW21" s="202"/>
      <c r="EX21" s="202"/>
      <c r="EY21" s="202"/>
      <c r="EZ21" s="202"/>
      <c r="FA21" s="202"/>
      <c r="FB21" s="202"/>
      <c r="FC21" s="202"/>
      <c r="FD21" s="202"/>
      <c r="FE21" s="202"/>
      <c r="FF21" s="202"/>
      <c r="FG21" s="202"/>
      <c r="FH21" s="202"/>
      <c r="FI21" s="202"/>
      <c r="FJ21" s="202"/>
      <c r="FK21" s="202"/>
      <c r="FL21" s="202"/>
      <c r="FM21" s="202"/>
      <c r="FN21" s="202"/>
      <c r="FO21" s="202"/>
      <c r="FP21" s="202"/>
      <c r="FQ21" s="202"/>
      <c r="FR21" s="202"/>
      <c r="FS21" s="202"/>
      <c r="FT21" s="202"/>
      <c r="FU21" s="202"/>
      <c r="FV21" s="202"/>
      <c r="FW21" s="202"/>
      <c r="FX21" s="202"/>
      <c r="FY21" s="202"/>
      <c r="FZ21" s="202"/>
      <c r="GA21" s="202"/>
      <c r="GB21" s="202"/>
      <c r="GC21" s="202"/>
      <c r="GD21" s="202"/>
      <c r="GE21" s="202"/>
      <c r="GF21" s="202"/>
      <c r="GG21" s="202"/>
      <c r="GH21" s="202"/>
      <c r="GI21" s="202"/>
      <c r="GJ21" s="202"/>
      <c r="GK21" s="202"/>
      <c r="GL21" s="202"/>
      <c r="GM21" s="202"/>
      <c r="GN21" s="202"/>
      <c r="GO21" s="202"/>
      <c r="GP21" s="202"/>
      <c r="GQ21" s="202"/>
      <c r="GR21" s="202"/>
      <c r="GS21" s="202"/>
      <c r="GT21" s="202"/>
      <c r="GU21" s="202"/>
      <c r="GV21" s="202"/>
      <c r="GW21" s="202"/>
      <c r="GX21" s="202"/>
      <c r="GY21" s="202"/>
      <c r="GZ21" s="202"/>
      <c r="HA21" s="202"/>
      <c r="HB21" s="202"/>
      <c r="HC21" s="202"/>
      <c r="HD21" s="202"/>
      <c r="HE21" s="202"/>
      <c r="HF21" s="202"/>
      <c r="HG21" s="202"/>
      <c r="HH21" s="202"/>
      <c r="HI21" s="202"/>
      <c r="HJ21" s="202"/>
      <c r="HK21" s="202"/>
      <c r="HL21" s="202"/>
      <c r="HM21" s="202"/>
      <c r="HN21" s="202"/>
      <c r="HO21" s="202"/>
      <c r="HP21" s="202"/>
      <c r="HQ21" s="202"/>
      <c r="HR21" s="202"/>
      <c r="HS21" s="202"/>
      <c r="HT21" s="202"/>
      <c r="HU21" s="202"/>
    </row>
    <row r="22" spans="1:229" s="205" customFormat="1" ht="79.5" customHeight="1">
      <c r="A22" s="221">
        <v>2</v>
      </c>
      <c r="B22" s="222" t="s">
        <v>97</v>
      </c>
      <c r="C22" s="294" t="s">
        <v>303</v>
      </c>
      <c r="D22" s="294" t="s">
        <v>304</v>
      </c>
      <c r="E22" s="206">
        <v>4.24</v>
      </c>
      <c r="F22" s="210">
        <v>101.81</v>
      </c>
      <c r="G22" s="208">
        <f>F22/1.13</f>
        <v>90.097345132743371</v>
      </c>
      <c r="H22" s="209">
        <v>170.74</v>
      </c>
      <c r="I22" s="295">
        <f>E22*G22+H22</f>
        <v>552.75274336283189</v>
      </c>
      <c r="J22" s="210">
        <f>I22/1000</f>
        <v>0.55275274336283187</v>
      </c>
      <c r="K22" s="211" t="s">
        <v>187</v>
      </c>
      <c r="L22" s="211" t="s">
        <v>299</v>
      </c>
      <c r="M22" s="218">
        <v>0.06</v>
      </c>
      <c r="N22" s="218">
        <v>0.80493841154727708</v>
      </c>
      <c r="O22" s="296">
        <f>J22*1.13</f>
        <v>0.6246105999999999</v>
      </c>
      <c r="P22" s="296">
        <v>0.56096528874953722</v>
      </c>
      <c r="Q22" s="296">
        <f>P22-J22</f>
        <v>8.2125453867053499E-3</v>
      </c>
      <c r="R22" s="296">
        <f>Q22*1000</f>
        <v>8.2125453867053508</v>
      </c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/>
      <c r="AS22" s="202"/>
      <c r="AT22" s="202"/>
      <c r="AU22" s="202"/>
      <c r="AV22" s="202"/>
      <c r="AW22" s="202"/>
      <c r="AX22" s="202"/>
      <c r="AY22" s="202"/>
      <c r="AZ22" s="202"/>
      <c r="BA22" s="202"/>
      <c r="BB22" s="202"/>
      <c r="BC22" s="202"/>
      <c r="BD22" s="202"/>
      <c r="BE22" s="202"/>
      <c r="BF22" s="202"/>
      <c r="BG22" s="202"/>
      <c r="BH22" s="202"/>
      <c r="BI22" s="202"/>
      <c r="BJ22" s="202"/>
      <c r="BK22" s="202"/>
      <c r="BL22" s="202"/>
      <c r="BM22" s="202"/>
      <c r="BN22" s="202"/>
      <c r="BO22" s="202"/>
      <c r="BP22" s="202"/>
      <c r="BQ22" s="202"/>
      <c r="BR22" s="202"/>
      <c r="BS22" s="202"/>
      <c r="BT22" s="202"/>
      <c r="BU22" s="202"/>
      <c r="BV22" s="202"/>
      <c r="BW22" s="202"/>
      <c r="BX22" s="202"/>
      <c r="BY22" s="202"/>
      <c r="BZ22" s="202"/>
      <c r="CA22" s="202"/>
      <c r="CB22" s="202"/>
      <c r="CC22" s="202"/>
      <c r="CD22" s="202"/>
      <c r="CE22" s="202"/>
      <c r="CF22" s="202"/>
      <c r="CG22" s="202"/>
      <c r="CH22" s="202"/>
      <c r="CI22" s="202"/>
      <c r="CJ22" s="202"/>
      <c r="CK22" s="202"/>
      <c r="CL22" s="202"/>
      <c r="CM22" s="202"/>
      <c r="CN22" s="202"/>
      <c r="CO22" s="202"/>
      <c r="CP22" s="202"/>
      <c r="CQ22" s="202"/>
      <c r="CR22" s="202"/>
      <c r="CS22" s="202"/>
      <c r="CT22" s="202"/>
      <c r="CU22" s="202"/>
      <c r="CV22" s="202"/>
      <c r="CW22" s="202"/>
      <c r="CX22" s="202"/>
      <c r="CY22" s="202"/>
      <c r="CZ22" s="202"/>
      <c r="DA22" s="202"/>
      <c r="DB22" s="202"/>
      <c r="DC22" s="202"/>
      <c r="DD22" s="202"/>
      <c r="DE22" s="202"/>
      <c r="DF22" s="202"/>
      <c r="DG22" s="202"/>
      <c r="DH22" s="202"/>
      <c r="DI22" s="202"/>
      <c r="DJ22" s="202"/>
      <c r="DK22" s="202"/>
      <c r="DL22" s="202"/>
      <c r="DM22" s="202"/>
      <c r="DN22" s="202"/>
      <c r="DO22" s="202"/>
      <c r="DP22" s="202"/>
      <c r="DQ22" s="202"/>
      <c r="DR22" s="202"/>
      <c r="DS22" s="202"/>
      <c r="DT22" s="202"/>
      <c r="DU22" s="202"/>
      <c r="DV22" s="202"/>
      <c r="DW22" s="202"/>
      <c r="DX22" s="202"/>
      <c r="DY22" s="202"/>
      <c r="DZ22" s="202"/>
      <c r="EA22" s="202"/>
      <c r="EB22" s="202"/>
      <c r="EC22" s="202"/>
      <c r="ED22" s="202"/>
      <c r="EE22" s="202"/>
      <c r="EF22" s="202"/>
      <c r="EG22" s="202"/>
      <c r="EH22" s="202"/>
      <c r="EI22" s="202"/>
      <c r="EJ22" s="202"/>
      <c r="EK22" s="202"/>
      <c r="EL22" s="202"/>
      <c r="EM22" s="202"/>
      <c r="EN22" s="202"/>
      <c r="EO22" s="202"/>
      <c r="EP22" s="202"/>
      <c r="EQ22" s="202"/>
      <c r="ER22" s="202"/>
      <c r="ES22" s="202"/>
      <c r="ET22" s="202"/>
      <c r="EU22" s="202"/>
      <c r="EV22" s="202"/>
      <c r="EW22" s="202"/>
      <c r="EX22" s="202"/>
      <c r="EY22" s="202"/>
      <c r="EZ22" s="202"/>
      <c r="FA22" s="202"/>
      <c r="FB22" s="202"/>
      <c r="FC22" s="202"/>
      <c r="FD22" s="202"/>
      <c r="FE22" s="202"/>
      <c r="FF22" s="202"/>
      <c r="FG22" s="202"/>
      <c r="FH22" s="202"/>
      <c r="FI22" s="202"/>
      <c r="FJ22" s="202"/>
      <c r="FK22" s="202"/>
      <c r="FL22" s="202"/>
      <c r="FM22" s="202"/>
      <c r="FN22" s="202"/>
      <c r="FO22" s="202"/>
      <c r="FP22" s="202"/>
      <c r="FQ22" s="202"/>
      <c r="FR22" s="202"/>
      <c r="FS22" s="202"/>
      <c r="FT22" s="202"/>
      <c r="FU22" s="202"/>
      <c r="FV22" s="202"/>
      <c r="FW22" s="202"/>
      <c r="FX22" s="202"/>
      <c r="FY22" s="202"/>
      <c r="FZ22" s="202"/>
      <c r="GA22" s="202"/>
      <c r="GB22" s="202"/>
      <c r="GC22" s="202"/>
      <c r="GD22" s="202"/>
      <c r="GE22" s="202"/>
      <c r="GF22" s="202"/>
      <c r="GG22" s="202"/>
      <c r="GH22" s="202"/>
      <c r="GI22" s="202"/>
      <c r="GJ22" s="202"/>
      <c r="GK22" s="202"/>
      <c r="GL22" s="202"/>
      <c r="GM22" s="202"/>
      <c r="GN22" s="202"/>
      <c r="GO22" s="202"/>
      <c r="GP22" s="202"/>
      <c r="GQ22" s="202"/>
      <c r="GR22" s="202"/>
      <c r="GS22" s="202"/>
      <c r="GT22" s="202"/>
      <c r="GU22" s="202"/>
      <c r="GV22" s="202"/>
      <c r="GW22" s="202"/>
      <c r="GX22" s="202"/>
      <c r="GY22" s="202"/>
      <c r="GZ22" s="202"/>
      <c r="HA22" s="202"/>
      <c r="HB22" s="202"/>
      <c r="HC22" s="202"/>
      <c r="HD22" s="202"/>
      <c r="HE22" s="202"/>
      <c r="HF22" s="202"/>
      <c r="HG22" s="202"/>
      <c r="HH22" s="202"/>
      <c r="HI22" s="202"/>
      <c r="HJ22" s="202"/>
      <c r="HK22" s="202"/>
      <c r="HL22" s="202"/>
      <c r="HM22" s="202"/>
      <c r="HN22" s="202"/>
      <c r="HO22" s="202"/>
      <c r="HP22" s="202"/>
      <c r="HQ22" s="202"/>
      <c r="HR22" s="202"/>
      <c r="HS22" s="202"/>
      <c r="HT22" s="202"/>
      <c r="HU22" s="202"/>
    </row>
    <row r="23" spans="1:229" s="205" customFormat="1" ht="79.5" customHeight="1">
      <c r="A23" s="221">
        <v>3</v>
      </c>
      <c r="B23" s="222" t="s">
        <v>97</v>
      </c>
      <c r="C23" s="294" t="s">
        <v>305</v>
      </c>
      <c r="D23" s="294" t="s">
        <v>306</v>
      </c>
      <c r="E23" s="206">
        <v>4.24</v>
      </c>
      <c r="F23" s="210">
        <v>101.81</v>
      </c>
      <c r="G23" s="208">
        <f>F23/1.13</f>
        <v>90.097345132743371</v>
      </c>
      <c r="H23" s="209">
        <v>103.96</v>
      </c>
      <c r="I23" s="295">
        <f>E23*G23+H23</f>
        <v>485.97274336283186</v>
      </c>
      <c r="J23" s="210">
        <f>I23/1000</f>
        <v>0.48597274336283186</v>
      </c>
      <c r="K23" s="211" t="s">
        <v>187</v>
      </c>
      <c r="L23" s="211" t="s">
        <v>300</v>
      </c>
      <c r="M23" s="218">
        <v>0.06</v>
      </c>
      <c r="N23" s="218">
        <v>0.85366840705698099</v>
      </c>
      <c r="O23" s="296">
        <f>J23*1.13</f>
        <v>0.5491492</v>
      </c>
      <c r="P23" s="296">
        <v>0.49418716383365735</v>
      </c>
      <c r="Q23" s="296">
        <f>P23-J23</f>
        <v>8.2144204708254898E-3</v>
      </c>
      <c r="R23" s="296">
        <f>Q23*1000</f>
        <v>8.2144204708254893</v>
      </c>
      <c r="S23" s="202"/>
      <c r="T23" s="202"/>
      <c r="U23" s="202"/>
      <c r="V23" s="202"/>
      <c r="W23" s="202"/>
      <c r="X23" s="202"/>
      <c r="Y23" s="202"/>
      <c r="Z23" s="202"/>
      <c r="AA23" s="202"/>
      <c r="AB23" s="202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/>
      <c r="AS23" s="202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2"/>
      <c r="BH23" s="202"/>
      <c r="BI23" s="202"/>
      <c r="BJ23" s="202"/>
      <c r="BK23" s="202"/>
      <c r="BL23" s="202"/>
      <c r="BM23" s="202"/>
      <c r="BN23" s="202"/>
      <c r="BO23" s="202"/>
      <c r="BP23" s="202"/>
      <c r="BQ23" s="202"/>
      <c r="BR23" s="202"/>
      <c r="BS23" s="202"/>
      <c r="BT23" s="202"/>
      <c r="BU23" s="202"/>
      <c r="BV23" s="202"/>
      <c r="BW23" s="202"/>
      <c r="BX23" s="202"/>
      <c r="BY23" s="202"/>
      <c r="BZ23" s="202"/>
      <c r="CA23" s="202"/>
      <c r="CB23" s="202"/>
      <c r="CC23" s="202"/>
      <c r="CD23" s="202"/>
      <c r="CE23" s="202"/>
      <c r="CF23" s="202"/>
      <c r="CG23" s="202"/>
      <c r="CH23" s="202"/>
      <c r="CI23" s="202"/>
      <c r="CJ23" s="202"/>
      <c r="CK23" s="202"/>
      <c r="CL23" s="202"/>
      <c r="CM23" s="202"/>
      <c r="CN23" s="202"/>
      <c r="CO23" s="202"/>
      <c r="CP23" s="202"/>
      <c r="CQ23" s="202"/>
      <c r="CR23" s="202"/>
      <c r="CS23" s="202"/>
      <c r="CT23" s="202"/>
      <c r="CU23" s="202"/>
      <c r="CV23" s="202"/>
      <c r="CW23" s="202"/>
      <c r="CX23" s="202"/>
      <c r="CY23" s="202"/>
      <c r="CZ23" s="202"/>
      <c r="DA23" s="202"/>
      <c r="DB23" s="202"/>
      <c r="DC23" s="202"/>
      <c r="DD23" s="202"/>
      <c r="DE23" s="202"/>
      <c r="DF23" s="202"/>
      <c r="DG23" s="202"/>
      <c r="DH23" s="202"/>
      <c r="DI23" s="202"/>
      <c r="DJ23" s="202"/>
      <c r="DK23" s="202"/>
      <c r="DL23" s="202"/>
      <c r="DM23" s="202"/>
      <c r="DN23" s="202"/>
      <c r="DO23" s="202"/>
      <c r="DP23" s="202"/>
      <c r="DQ23" s="202"/>
      <c r="DR23" s="202"/>
      <c r="DS23" s="202"/>
      <c r="DT23" s="202"/>
      <c r="DU23" s="202"/>
      <c r="DV23" s="202"/>
      <c r="DW23" s="202"/>
      <c r="DX23" s="202"/>
      <c r="DY23" s="202"/>
      <c r="DZ23" s="202"/>
      <c r="EA23" s="202"/>
      <c r="EB23" s="202"/>
      <c r="EC23" s="202"/>
      <c r="ED23" s="202"/>
      <c r="EE23" s="202"/>
      <c r="EF23" s="202"/>
      <c r="EG23" s="202"/>
      <c r="EH23" s="202"/>
      <c r="EI23" s="202"/>
      <c r="EJ23" s="202"/>
      <c r="EK23" s="202"/>
      <c r="EL23" s="202"/>
      <c r="EM23" s="202"/>
      <c r="EN23" s="202"/>
      <c r="EO23" s="202"/>
      <c r="EP23" s="202"/>
      <c r="EQ23" s="202"/>
      <c r="ER23" s="202"/>
      <c r="ES23" s="202"/>
      <c r="ET23" s="202"/>
      <c r="EU23" s="202"/>
      <c r="EV23" s="202"/>
      <c r="EW23" s="202"/>
      <c r="EX23" s="202"/>
      <c r="EY23" s="202"/>
      <c r="EZ23" s="202"/>
      <c r="FA23" s="202"/>
      <c r="FB23" s="202"/>
      <c r="FC23" s="202"/>
      <c r="FD23" s="202"/>
      <c r="FE23" s="202"/>
      <c r="FF23" s="202"/>
      <c r="FG23" s="202"/>
      <c r="FH23" s="202"/>
      <c r="FI23" s="202"/>
      <c r="FJ23" s="202"/>
      <c r="FK23" s="202"/>
      <c r="FL23" s="202"/>
      <c r="FM23" s="202"/>
      <c r="FN23" s="202"/>
      <c r="FO23" s="202"/>
      <c r="FP23" s="202"/>
      <c r="FQ23" s="202"/>
      <c r="FR23" s="202"/>
      <c r="FS23" s="202"/>
      <c r="FT23" s="202"/>
      <c r="FU23" s="202"/>
      <c r="FV23" s="202"/>
      <c r="FW23" s="202"/>
      <c r="FX23" s="202"/>
      <c r="FY23" s="202"/>
      <c r="FZ23" s="202"/>
      <c r="GA23" s="202"/>
      <c r="GB23" s="202"/>
      <c r="GC23" s="202"/>
      <c r="GD23" s="202"/>
      <c r="GE23" s="202"/>
      <c r="GF23" s="202"/>
      <c r="GG23" s="202"/>
      <c r="GH23" s="202"/>
      <c r="GI23" s="202"/>
      <c r="GJ23" s="202"/>
      <c r="GK23" s="202"/>
      <c r="GL23" s="202"/>
      <c r="GM23" s="202"/>
      <c r="GN23" s="202"/>
      <c r="GO23" s="202"/>
      <c r="GP23" s="202"/>
      <c r="GQ23" s="202"/>
      <c r="GR23" s="202"/>
      <c r="GS23" s="202"/>
      <c r="GT23" s="202"/>
      <c r="GU23" s="202"/>
      <c r="GV23" s="202"/>
      <c r="GW23" s="202"/>
      <c r="GX23" s="202"/>
      <c r="GY23" s="202"/>
      <c r="GZ23" s="202"/>
      <c r="HA23" s="202"/>
      <c r="HB23" s="202"/>
      <c r="HC23" s="202"/>
      <c r="HD23" s="202"/>
      <c r="HE23" s="202"/>
      <c r="HF23" s="202"/>
      <c r="HG23" s="202"/>
      <c r="HH23" s="202"/>
      <c r="HI23" s="202"/>
      <c r="HJ23" s="202"/>
      <c r="HK23" s="202"/>
      <c r="HL23" s="202"/>
      <c r="HM23" s="202"/>
      <c r="HN23" s="202"/>
      <c r="HO23" s="202"/>
      <c r="HP23" s="202"/>
      <c r="HQ23" s="202"/>
      <c r="HR23" s="202"/>
      <c r="HS23" s="202"/>
      <c r="HT23" s="202"/>
      <c r="HU23" s="202"/>
    </row>
    <row r="24" spans="1:229" ht="25.5">
      <c r="A24" s="457" t="s">
        <v>6</v>
      </c>
      <c r="B24" s="457"/>
      <c r="C24" s="457"/>
      <c r="D24" s="457"/>
      <c r="E24" s="457"/>
      <c r="F24" s="457"/>
      <c r="G24" s="457"/>
      <c r="H24" s="457"/>
      <c r="I24" s="457"/>
      <c r="M24" s="457" t="s">
        <v>6</v>
      </c>
      <c r="N24" s="457"/>
      <c r="O24" s="457"/>
      <c r="P24" s="457"/>
      <c r="Q24" s="457"/>
      <c r="R24" s="457"/>
      <c r="S24" s="457"/>
      <c r="T24" s="457"/>
      <c r="U24" s="457"/>
      <c r="V24" s="65"/>
      <c r="W24" s="65"/>
    </row>
    <row r="25" spans="1:229" ht="25.5">
      <c r="A25" s="1"/>
      <c r="B25" s="271"/>
      <c r="C25" s="271"/>
      <c r="D25" s="271"/>
      <c r="E25" s="271"/>
      <c r="F25" s="271"/>
      <c r="G25" s="271"/>
      <c r="H25" s="2" t="s">
        <v>7</v>
      </c>
      <c r="I25" s="272" t="s">
        <v>278</v>
      </c>
      <c r="M25" s="1"/>
      <c r="N25" s="271"/>
      <c r="O25" s="271"/>
      <c r="P25" s="271"/>
      <c r="Q25" s="271"/>
      <c r="R25" s="271"/>
      <c r="S25" s="271"/>
      <c r="T25" s="2" t="s">
        <v>7</v>
      </c>
      <c r="U25" s="419" t="s">
        <v>278</v>
      </c>
      <c r="V25" s="65"/>
      <c r="W25" s="65"/>
    </row>
    <row r="26" spans="1:229">
      <c r="A26" s="3" t="s">
        <v>8</v>
      </c>
      <c r="B26" s="454"/>
      <c r="C26" s="455"/>
      <c r="D26" s="455"/>
      <c r="E26" s="455"/>
      <c r="F26" s="456"/>
      <c r="G26" s="3" t="s">
        <v>9</v>
      </c>
      <c r="H26" s="458">
        <v>46104</v>
      </c>
      <c r="I26" s="459"/>
      <c r="M26" s="3" t="s">
        <v>8</v>
      </c>
      <c r="N26" s="454"/>
      <c r="O26" s="455"/>
      <c r="P26" s="455"/>
      <c r="Q26" s="455"/>
      <c r="R26" s="456"/>
      <c r="S26" s="3" t="s">
        <v>9</v>
      </c>
      <c r="T26" s="458">
        <v>46104</v>
      </c>
      <c r="U26" s="459"/>
      <c r="V26" s="65"/>
      <c r="W26" s="65"/>
    </row>
    <row r="27" spans="1:229" ht="16.5">
      <c r="A27" s="3" t="s">
        <v>10</v>
      </c>
      <c r="B27" s="531" t="s">
        <v>154</v>
      </c>
      <c r="C27" s="531"/>
      <c r="D27" s="531"/>
      <c r="E27" s="531"/>
      <c r="F27" s="531"/>
      <c r="G27" s="3" t="s">
        <v>11</v>
      </c>
      <c r="H27" s="532" t="s">
        <v>155</v>
      </c>
      <c r="I27" s="460"/>
      <c r="M27" s="3" t="s">
        <v>10</v>
      </c>
      <c r="N27" s="531" t="s">
        <v>154</v>
      </c>
      <c r="O27" s="531"/>
      <c r="P27" s="531"/>
      <c r="Q27" s="531"/>
      <c r="R27" s="531"/>
      <c r="S27" s="3" t="s">
        <v>11</v>
      </c>
      <c r="T27" s="532" t="s">
        <v>155</v>
      </c>
      <c r="U27" s="460"/>
      <c r="V27" s="284" t="s">
        <v>290</v>
      </c>
      <c r="W27" s="65"/>
    </row>
    <row r="28" spans="1:229">
      <c r="A28" s="461" t="s">
        <v>0</v>
      </c>
      <c r="B28" s="461" t="s">
        <v>12</v>
      </c>
      <c r="C28" s="461" t="s">
        <v>1</v>
      </c>
      <c r="D28" s="461"/>
      <c r="E28" s="461"/>
      <c r="F28" s="461"/>
      <c r="G28" s="3" t="s">
        <v>13</v>
      </c>
      <c r="H28" s="3" t="s">
        <v>3</v>
      </c>
      <c r="I28" s="3" t="s">
        <v>14</v>
      </c>
      <c r="M28" s="461" t="s">
        <v>0</v>
      </c>
      <c r="N28" s="461" t="s">
        <v>12</v>
      </c>
      <c r="O28" s="461" t="s">
        <v>1</v>
      </c>
      <c r="P28" s="461"/>
      <c r="Q28" s="461"/>
      <c r="R28" s="461"/>
      <c r="S28" s="3" t="s">
        <v>13</v>
      </c>
      <c r="T28" s="3" t="s">
        <v>3</v>
      </c>
      <c r="U28" s="119" t="s">
        <v>14</v>
      </c>
      <c r="V28" s="65"/>
      <c r="W28" s="65"/>
    </row>
    <row r="29" spans="1:229" ht="15.75">
      <c r="A29" s="461"/>
      <c r="B29" s="461"/>
      <c r="C29" s="461"/>
      <c r="D29" s="461"/>
      <c r="E29" s="461"/>
      <c r="F29" s="461"/>
      <c r="G29" s="3" t="s">
        <v>15</v>
      </c>
      <c r="H29" s="233" t="s">
        <v>16</v>
      </c>
      <c r="I29" s="233" t="s">
        <v>17</v>
      </c>
      <c r="M29" s="461"/>
      <c r="N29" s="461"/>
      <c r="O29" s="461"/>
      <c r="P29" s="461"/>
      <c r="Q29" s="461"/>
      <c r="R29" s="461"/>
      <c r="S29" s="3" t="s">
        <v>15</v>
      </c>
      <c r="T29" s="233" t="s">
        <v>16</v>
      </c>
      <c r="U29" s="417" t="s">
        <v>17</v>
      </c>
      <c r="V29" s="65"/>
      <c r="W29" s="65"/>
    </row>
    <row r="30" spans="1:229" ht="15.75">
      <c r="A30" s="4" t="s">
        <v>18</v>
      </c>
      <c r="B30" s="3" t="s">
        <v>19</v>
      </c>
      <c r="C30" s="545" t="s">
        <v>156</v>
      </c>
      <c r="D30" s="546"/>
      <c r="E30" s="546"/>
      <c r="F30" s="547"/>
      <c r="G30" s="5">
        <f>0.193^2*0.7854*8.89*16/10*1.02</f>
        <v>0.4244508721918081</v>
      </c>
      <c r="H30" s="67">
        <f>(J30+1055)/1000/1.13+1.18</f>
        <v>92.210973451327447</v>
      </c>
      <c r="I30" s="234">
        <f>G30*H30</f>
        <v>39.139028107071596</v>
      </c>
      <c r="J30" s="228">
        <v>101810</v>
      </c>
      <c r="M30" s="4" t="s">
        <v>18</v>
      </c>
      <c r="N30" s="3" t="s">
        <v>19</v>
      </c>
      <c r="O30" s="545" t="s">
        <v>156</v>
      </c>
      <c r="P30" s="546"/>
      <c r="Q30" s="546"/>
      <c r="R30" s="547"/>
      <c r="S30" s="5">
        <v>0.4244508721918081</v>
      </c>
      <c r="T30" s="67">
        <v>94.149026548672595</v>
      </c>
      <c r="U30" s="119">
        <v>39.961636434593778</v>
      </c>
      <c r="V30" s="192">
        <v>104000</v>
      </c>
      <c r="W30" s="65"/>
    </row>
    <row r="31" spans="1:229" ht="17.25">
      <c r="A31" s="4">
        <v>2</v>
      </c>
      <c r="B31" s="3" t="s">
        <v>20</v>
      </c>
      <c r="C31" s="545" t="s">
        <v>277</v>
      </c>
      <c r="D31" s="546"/>
      <c r="E31" s="546"/>
      <c r="F31" s="547"/>
      <c r="G31" s="5">
        <f>(1.73^2-0.88^2*0.85)*0.7854*1.35/10</f>
        <v>0.24754166514000006</v>
      </c>
      <c r="H31" s="236">
        <v>15.929</v>
      </c>
      <c r="I31" s="234">
        <f>G31*H31</f>
        <v>3.9430911840150609</v>
      </c>
      <c r="J31" s="432" t="s">
        <v>342</v>
      </c>
      <c r="M31" s="4">
        <v>2</v>
      </c>
      <c r="N31" s="3" t="s">
        <v>20</v>
      </c>
      <c r="O31" s="545" t="s">
        <v>292</v>
      </c>
      <c r="P31" s="546"/>
      <c r="Q31" s="546"/>
      <c r="R31" s="547"/>
      <c r="S31" s="5">
        <v>0.23470617139200006</v>
      </c>
      <c r="T31" s="413">
        <v>22.123893805309738</v>
      </c>
      <c r="U31" s="119">
        <v>5.192614411327436</v>
      </c>
      <c r="V31" s="192"/>
      <c r="W31" s="65"/>
    </row>
    <row r="32" spans="1:229" ht="15.75">
      <c r="A32" s="6" t="s">
        <v>21</v>
      </c>
      <c r="B32" s="78">
        <f>I32/100</f>
        <v>0.43082119291086657</v>
      </c>
      <c r="C32" s="465" t="s">
        <v>22</v>
      </c>
      <c r="D32" s="465"/>
      <c r="E32" s="465"/>
      <c r="F32" s="465"/>
      <c r="G32" s="7">
        <f>SUM(G30:G31)/100</f>
        <v>6.719925373318082E-3</v>
      </c>
      <c r="H32" s="8" t="s">
        <v>23</v>
      </c>
      <c r="I32" s="79">
        <f>SUM(I30:I31)</f>
        <v>43.082119291086656</v>
      </c>
      <c r="J32" s="335">
        <f>B32/I42</f>
        <v>0.80969468339235384</v>
      </c>
      <c r="M32" s="6" t="s">
        <v>21</v>
      </c>
      <c r="N32" s="78">
        <v>0.45154250845921212</v>
      </c>
      <c r="O32" s="465" t="s">
        <v>22</v>
      </c>
      <c r="P32" s="465"/>
      <c r="Q32" s="465"/>
      <c r="R32" s="465"/>
      <c r="S32" s="7">
        <v>6.5915704358380815E-3</v>
      </c>
      <c r="T32" s="8" t="s">
        <v>23</v>
      </c>
      <c r="U32" s="420">
        <v>45.154250845921212</v>
      </c>
      <c r="V32" s="370">
        <v>0.80493841154727708</v>
      </c>
      <c r="W32" s="65"/>
    </row>
    <row r="33" spans="1:23" ht="36">
      <c r="A33" s="9" t="s">
        <v>12</v>
      </c>
      <c r="B33" s="10" t="s">
        <v>24</v>
      </c>
      <c r="C33" s="10" t="s">
        <v>136</v>
      </c>
      <c r="D33" s="9" t="s">
        <v>25</v>
      </c>
      <c r="E33" s="9" t="s">
        <v>26</v>
      </c>
      <c r="F33" s="10" t="s">
        <v>27</v>
      </c>
      <c r="G33" s="10" t="s">
        <v>28</v>
      </c>
      <c r="H33" s="11" t="s">
        <v>29</v>
      </c>
      <c r="I33" s="9" t="s">
        <v>30</v>
      </c>
      <c r="M33" s="9" t="s">
        <v>12</v>
      </c>
      <c r="N33" s="10" t="s">
        <v>24</v>
      </c>
      <c r="O33" s="10" t="s">
        <v>136</v>
      </c>
      <c r="P33" s="9" t="s">
        <v>25</v>
      </c>
      <c r="Q33" s="9" t="s">
        <v>26</v>
      </c>
      <c r="R33" s="10" t="s">
        <v>27</v>
      </c>
      <c r="S33" s="10" t="s">
        <v>28</v>
      </c>
      <c r="T33" s="11" t="s">
        <v>29</v>
      </c>
      <c r="U33" s="418" t="s">
        <v>30</v>
      </c>
      <c r="V33" s="65"/>
      <c r="W33" s="65"/>
    </row>
    <row r="34" spans="1:23" ht="15.75" customHeight="1">
      <c r="A34" s="3" t="s">
        <v>19</v>
      </c>
      <c r="B34" s="273">
        <v>0.2</v>
      </c>
      <c r="C34" s="12">
        <v>0</v>
      </c>
      <c r="D34" s="70">
        <v>20</v>
      </c>
      <c r="E34" s="70">
        <f>B34*D34*G40/1000+C34*D34*G38</f>
        <v>200</v>
      </c>
      <c r="F34" s="70">
        <v>0.1</v>
      </c>
      <c r="G34" s="70">
        <v>0</v>
      </c>
      <c r="H34" s="72">
        <f>F34*I30</f>
        <v>3.9139028107071598</v>
      </c>
      <c r="I34" s="70">
        <f>E34+H34*G38</f>
        <v>203.91390281070716</v>
      </c>
      <c r="M34" s="3" t="s">
        <v>19</v>
      </c>
      <c r="N34" s="273">
        <v>0.2</v>
      </c>
      <c r="O34" s="12">
        <v>0</v>
      </c>
      <c r="P34" s="70">
        <v>20</v>
      </c>
      <c r="Q34" s="70">
        <v>200</v>
      </c>
      <c r="R34" s="70">
        <v>0.1</v>
      </c>
      <c r="S34" s="70">
        <v>0</v>
      </c>
      <c r="T34" s="72">
        <v>3.9961636434593779</v>
      </c>
      <c r="U34" s="119">
        <v>203.99616364345937</v>
      </c>
      <c r="V34" s="65"/>
      <c r="W34" s="65"/>
    </row>
    <row r="35" spans="1:23" ht="15.75">
      <c r="A35" s="3" t="s">
        <v>20</v>
      </c>
      <c r="B35" s="273">
        <f>1000/60/160</f>
        <v>0.10416666666666667</v>
      </c>
      <c r="C35" s="12">
        <v>0</v>
      </c>
      <c r="D35" s="70">
        <v>120</v>
      </c>
      <c r="E35" s="70">
        <f>B35*D35*G40/1000+C35*D35*G38</f>
        <v>625</v>
      </c>
      <c r="F35" s="70">
        <v>0.5</v>
      </c>
      <c r="G35" s="70">
        <v>5</v>
      </c>
      <c r="H35" s="72">
        <f>F35*I32+G35*H31</f>
        <v>101.18605964554332</v>
      </c>
      <c r="I35" s="70">
        <f>E35+H35*G38</f>
        <v>726.18605964554331</v>
      </c>
      <c r="M35" s="3" t="s">
        <v>20</v>
      </c>
      <c r="N35" s="273">
        <v>0.10416666666666667</v>
      </c>
      <c r="O35" s="12">
        <v>0</v>
      </c>
      <c r="P35" s="70">
        <v>120</v>
      </c>
      <c r="Q35" s="70">
        <v>625</v>
      </c>
      <c r="R35" s="70">
        <v>0.5</v>
      </c>
      <c r="S35" s="70">
        <v>5</v>
      </c>
      <c r="T35" s="72">
        <v>133.19659444950929</v>
      </c>
      <c r="U35" s="119">
        <v>758.19659444950935</v>
      </c>
      <c r="V35" s="65"/>
      <c r="W35" s="65"/>
    </row>
    <row r="36" spans="1:23" ht="15.75">
      <c r="A36" s="3" t="s">
        <v>157</v>
      </c>
      <c r="B36" s="273">
        <f>1000/60/150</f>
        <v>0.11111111111111112</v>
      </c>
      <c r="C36" s="12">
        <v>0</v>
      </c>
      <c r="D36" s="70">
        <v>50</v>
      </c>
      <c r="E36" s="70">
        <f>B36*D36*G40/1000+C36*D36*G38</f>
        <v>277.77777777777783</v>
      </c>
      <c r="F36" s="70">
        <v>0</v>
      </c>
      <c r="G36" s="70">
        <v>0</v>
      </c>
      <c r="H36" s="72">
        <f>F36*I32+G36*H31</f>
        <v>0</v>
      </c>
      <c r="I36" s="70">
        <f>E36+H36*G38</f>
        <v>277.77777777777783</v>
      </c>
      <c r="M36" s="3" t="s">
        <v>157</v>
      </c>
      <c r="N36" s="273">
        <v>0.11111111111111112</v>
      </c>
      <c r="O36" s="12">
        <v>0</v>
      </c>
      <c r="P36" s="70">
        <v>50</v>
      </c>
      <c r="Q36" s="70">
        <v>277.77777777777783</v>
      </c>
      <c r="R36" s="70">
        <v>0</v>
      </c>
      <c r="S36" s="70">
        <v>0</v>
      </c>
      <c r="T36" s="72">
        <v>0</v>
      </c>
      <c r="U36" s="119">
        <v>277.77777777777783</v>
      </c>
      <c r="V36" s="65"/>
      <c r="W36" s="65"/>
    </row>
    <row r="37" spans="1:23" ht="24">
      <c r="A37" s="437" t="s">
        <v>31</v>
      </c>
      <c r="B37" s="438"/>
      <c r="C37" s="16" t="s">
        <v>32</v>
      </c>
      <c r="D37" s="16" t="s">
        <v>33</v>
      </c>
      <c r="E37" s="16" t="s">
        <v>34</v>
      </c>
      <c r="F37" s="17" t="s">
        <v>144</v>
      </c>
      <c r="G37" s="18" t="s">
        <v>35</v>
      </c>
      <c r="H37" s="19" t="s">
        <v>36</v>
      </c>
      <c r="I37" s="61">
        <f>SUM(I34:I36)</f>
        <v>1207.8777402340284</v>
      </c>
      <c r="M37" s="437" t="s">
        <v>31</v>
      </c>
      <c r="N37" s="438"/>
      <c r="O37" s="16" t="s">
        <v>32</v>
      </c>
      <c r="P37" s="16" t="s">
        <v>33</v>
      </c>
      <c r="Q37" s="16" t="s">
        <v>34</v>
      </c>
      <c r="R37" s="17" t="s">
        <v>144</v>
      </c>
      <c r="S37" s="18" t="s">
        <v>35</v>
      </c>
      <c r="T37" s="19" t="s">
        <v>36</v>
      </c>
      <c r="U37" s="115">
        <v>1239.9705358707465</v>
      </c>
      <c r="V37" s="65"/>
      <c r="W37" s="65"/>
    </row>
    <row r="38" spans="1:23" ht="15">
      <c r="A38" s="439"/>
      <c r="B38" s="440"/>
      <c r="C38" s="277">
        <v>0</v>
      </c>
      <c r="D38" s="277">
        <v>0.8</v>
      </c>
      <c r="E38" s="20">
        <v>6.9999999999999999E-4</v>
      </c>
      <c r="F38" s="27">
        <v>0.02</v>
      </c>
      <c r="G38" s="80">
        <v>1</v>
      </c>
      <c r="H38" s="443" t="s">
        <v>37</v>
      </c>
      <c r="I38" s="463" t="s">
        <v>137</v>
      </c>
      <c r="M38" s="439"/>
      <c r="N38" s="440"/>
      <c r="O38" s="277">
        <v>0</v>
      </c>
      <c r="P38" s="277">
        <v>0.8</v>
      </c>
      <c r="Q38" s="20">
        <v>6.9999999999999999E-4</v>
      </c>
      <c r="R38" s="27">
        <v>0.02</v>
      </c>
      <c r="S38" s="80">
        <v>1</v>
      </c>
      <c r="T38" s="443" t="s">
        <v>37</v>
      </c>
      <c r="U38" s="596" t="s">
        <v>137</v>
      </c>
      <c r="V38" s="65"/>
      <c r="W38" s="65"/>
    </row>
    <row r="39" spans="1:23" ht="24">
      <c r="A39" s="439"/>
      <c r="B39" s="440"/>
      <c r="C39" s="52" t="s">
        <v>31</v>
      </c>
      <c r="D39" s="21" t="s">
        <v>38</v>
      </c>
      <c r="E39" s="16" t="s">
        <v>39</v>
      </c>
      <c r="F39" s="19" t="s">
        <v>40</v>
      </c>
      <c r="G39" s="22" t="s">
        <v>41</v>
      </c>
      <c r="H39" s="443"/>
      <c r="I39" s="464"/>
      <c r="J39" s="26" t="s">
        <v>351</v>
      </c>
      <c r="K39" s="26" t="s">
        <v>352</v>
      </c>
      <c r="M39" s="439"/>
      <c r="N39" s="440"/>
      <c r="O39" s="214" t="s">
        <v>105</v>
      </c>
      <c r="P39" s="278" t="s">
        <v>106</v>
      </c>
      <c r="Q39" s="16" t="s">
        <v>39</v>
      </c>
      <c r="R39" s="19" t="s">
        <v>40</v>
      </c>
      <c r="S39" s="22" t="s">
        <v>41</v>
      </c>
      <c r="T39" s="443"/>
      <c r="U39" s="597"/>
      <c r="V39" s="65"/>
      <c r="W39" s="65"/>
    </row>
    <row r="40" spans="1:23" ht="18.75">
      <c r="A40" s="439"/>
      <c r="B40" s="440"/>
      <c r="C40" s="149">
        <f>100/2</f>
        <v>50</v>
      </c>
      <c r="D40" s="112">
        <v>5.2699999999999997E-2</v>
      </c>
      <c r="E40" s="279">
        <v>0</v>
      </c>
      <c r="F40" s="147">
        <v>0</v>
      </c>
      <c r="G40" s="280">
        <v>50000</v>
      </c>
      <c r="H40" s="23">
        <f>I37/G40+B32+B32*F38</f>
        <v>0.46359517157376445</v>
      </c>
      <c r="I40" s="62">
        <f>(H40/(1-D40)+C38+E38+E40/G40+C40/G40+C42*D42+D38*G32)*(1+F40)*(1+E42+F42)</f>
        <v>0.52808425038296936</v>
      </c>
      <c r="J40">
        <v>0.55275274336283187</v>
      </c>
      <c r="K40" s="274">
        <f>I42/J40-1</f>
        <v>-3.7402200390505014E-2</v>
      </c>
      <c r="M40" s="439"/>
      <c r="N40" s="440"/>
      <c r="O40" s="366">
        <v>66.666666666666671</v>
      </c>
      <c r="P40" s="219">
        <v>0.06</v>
      </c>
      <c r="Q40" s="279">
        <v>0</v>
      </c>
      <c r="R40" s="147">
        <v>0</v>
      </c>
      <c r="S40" s="280">
        <v>50000</v>
      </c>
      <c r="T40" s="23">
        <v>0.48537276934581131</v>
      </c>
      <c r="U40" s="116">
        <v>0.55616706911214786</v>
      </c>
      <c r="V40" s="65"/>
      <c r="W40" s="65"/>
    </row>
    <row r="41" spans="1:23">
      <c r="A41" s="439"/>
      <c r="B41" s="440"/>
      <c r="C41" s="17" t="s">
        <v>42</v>
      </c>
      <c r="D41" s="17" t="s">
        <v>43</v>
      </c>
      <c r="E41" s="214" t="s">
        <v>101</v>
      </c>
      <c r="F41" s="214" t="s">
        <v>102</v>
      </c>
      <c r="G41" s="214" t="s">
        <v>103</v>
      </c>
      <c r="H41" s="24" t="s">
        <v>44</v>
      </c>
      <c r="I41" s="63" t="s">
        <v>45</v>
      </c>
      <c r="J41" s="26" t="s">
        <v>104</v>
      </c>
      <c r="M41" s="439"/>
      <c r="N41" s="440"/>
      <c r="O41" s="17" t="s">
        <v>42</v>
      </c>
      <c r="P41" s="17" t="s">
        <v>43</v>
      </c>
      <c r="Q41" s="214" t="s">
        <v>101</v>
      </c>
      <c r="R41" s="214" t="s">
        <v>102</v>
      </c>
      <c r="S41" s="214" t="s">
        <v>103</v>
      </c>
      <c r="T41" s="24" t="s">
        <v>44</v>
      </c>
      <c r="U41" s="117" t="s">
        <v>45</v>
      </c>
      <c r="V41" s="65"/>
      <c r="W41" s="65"/>
    </row>
    <row r="42" spans="1:23" ht="18.75" customHeight="1">
      <c r="A42" s="441"/>
      <c r="B42" s="442"/>
      <c r="C42" s="83">
        <v>1</v>
      </c>
      <c r="D42" s="25">
        <v>1.4999999999999999E-2</v>
      </c>
      <c r="E42" s="144">
        <f>0.5%+0.5%</f>
        <v>0.01</v>
      </c>
      <c r="F42" s="144">
        <f>0.25%*3+0.25%*6</f>
        <v>2.2499999999999999E-2</v>
      </c>
      <c r="G42" s="231">
        <v>0.15</v>
      </c>
      <c r="H42" s="23">
        <f>(H40+C38+E38+E40/G40+C40/G40+C42*D42+D38*G32)*(1+F40)*(1+E42+F42)</f>
        <v>0.50145542300827251</v>
      </c>
      <c r="I42" s="62">
        <f>I40+(I40-H42)*G42</f>
        <v>0.53207857448917384</v>
      </c>
      <c r="J42" s="432" t="s">
        <v>344</v>
      </c>
      <c r="K42" s="274">
        <f>I42/J42-1</f>
        <v>4.4308368822632005E-5</v>
      </c>
      <c r="M42" s="441"/>
      <c r="N42" s="442"/>
      <c r="O42" s="83">
        <v>1</v>
      </c>
      <c r="P42" s="25">
        <v>1.4999999999999999E-2</v>
      </c>
      <c r="Q42" s="144">
        <v>0.01</v>
      </c>
      <c r="R42" s="144">
        <v>2.2499999999999999E-2</v>
      </c>
      <c r="S42" s="231">
        <v>0.15</v>
      </c>
      <c r="T42" s="23">
        <v>0.52417893819621908</v>
      </c>
      <c r="U42" s="116">
        <v>0.56096528874953722</v>
      </c>
      <c r="V42" s="285" t="s">
        <v>295</v>
      </c>
      <c r="W42" s="65"/>
    </row>
    <row r="43" spans="1:23" ht="25.5">
      <c r="A43" s="457" t="s">
        <v>6</v>
      </c>
      <c r="B43" s="457"/>
      <c r="C43" s="457"/>
      <c r="D43" s="457"/>
      <c r="E43" s="457"/>
      <c r="F43" s="457"/>
      <c r="G43" s="457"/>
      <c r="H43" s="457"/>
      <c r="I43" s="457"/>
      <c r="M43" s="457" t="s">
        <v>6</v>
      </c>
      <c r="N43" s="457"/>
      <c r="O43" s="457"/>
      <c r="P43" s="457"/>
      <c r="Q43" s="457"/>
      <c r="R43" s="457"/>
      <c r="S43" s="457"/>
      <c r="T43" s="457"/>
      <c r="U43" s="457"/>
      <c r="V43" s="414"/>
      <c r="W43" s="414"/>
    </row>
    <row r="44" spans="1:23" ht="25.5">
      <c r="A44" s="1"/>
      <c r="B44" s="271"/>
      <c r="C44" s="271"/>
      <c r="D44" s="271"/>
      <c r="E44" s="271"/>
      <c r="F44" s="271"/>
      <c r="G44" s="271"/>
      <c r="H44" s="2" t="s">
        <v>7</v>
      </c>
      <c r="I44" s="272" t="s">
        <v>279</v>
      </c>
      <c r="M44" s="1"/>
      <c r="N44" s="271"/>
      <c r="O44" s="271"/>
      <c r="P44" s="271"/>
      <c r="Q44" s="271"/>
      <c r="R44" s="271"/>
      <c r="S44" s="271"/>
      <c r="T44" s="2" t="s">
        <v>7</v>
      </c>
      <c r="U44" s="419" t="s">
        <v>279</v>
      </c>
      <c r="V44" s="414"/>
      <c r="W44" s="414"/>
    </row>
    <row r="45" spans="1:23">
      <c r="A45" s="3" t="s">
        <v>8</v>
      </c>
      <c r="B45" s="454" t="s">
        <v>280</v>
      </c>
      <c r="C45" s="455"/>
      <c r="D45" s="455"/>
      <c r="E45" s="455"/>
      <c r="F45" s="456"/>
      <c r="G45" s="3" t="s">
        <v>9</v>
      </c>
      <c r="H45" s="458">
        <v>46017</v>
      </c>
      <c r="I45" s="459"/>
      <c r="M45" s="3" t="s">
        <v>8</v>
      </c>
      <c r="N45" s="454" t="s">
        <v>280</v>
      </c>
      <c r="O45" s="455"/>
      <c r="P45" s="455"/>
      <c r="Q45" s="455"/>
      <c r="R45" s="456"/>
      <c r="S45" s="3" t="s">
        <v>9</v>
      </c>
      <c r="T45" s="458">
        <v>46017</v>
      </c>
      <c r="U45" s="459"/>
      <c r="V45" s="414"/>
      <c r="W45" s="414"/>
    </row>
    <row r="46" spans="1:23" ht="15.75">
      <c r="A46" s="3" t="s">
        <v>10</v>
      </c>
      <c r="B46" s="531" t="s">
        <v>281</v>
      </c>
      <c r="C46" s="531"/>
      <c r="D46" s="531"/>
      <c r="E46" s="531"/>
      <c r="F46" s="531"/>
      <c r="G46" s="3" t="s">
        <v>11</v>
      </c>
      <c r="H46" s="532" t="s">
        <v>282</v>
      </c>
      <c r="I46" s="460"/>
      <c r="M46" s="3" t="s">
        <v>10</v>
      </c>
      <c r="N46" s="531" t="s">
        <v>281</v>
      </c>
      <c r="O46" s="531"/>
      <c r="P46" s="531"/>
      <c r="Q46" s="531"/>
      <c r="R46" s="531"/>
      <c r="S46" s="3" t="s">
        <v>11</v>
      </c>
      <c r="T46" s="532" t="s">
        <v>282</v>
      </c>
      <c r="U46" s="460"/>
      <c r="V46" s="422" t="s">
        <v>291</v>
      </c>
      <c r="W46" s="414"/>
    </row>
    <row r="47" spans="1:23">
      <c r="A47" s="461" t="s">
        <v>0</v>
      </c>
      <c r="B47" s="461" t="s">
        <v>12</v>
      </c>
      <c r="C47" s="461" t="s">
        <v>1</v>
      </c>
      <c r="D47" s="461"/>
      <c r="E47" s="461"/>
      <c r="F47" s="461"/>
      <c r="G47" s="3" t="s">
        <v>13</v>
      </c>
      <c r="H47" s="3" t="s">
        <v>3</v>
      </c>
      <c r="I47" s="3" t="s">
        <v>14</v>
      </c>
      <c r="M47" s="461" t="s">
        <v>0</v>
      </c>
      <c r="N47" s="461" t="s">
        <v>12</v>
      </c>
      <c r="O47" s="461" t="s">
        <v>1</v>
      </c>
      <c r="P47" s="461"/>
      <c r="Q47" s="461"/>
      <c r="R47" s="461"/>
      <c r="S47" s="3" t="s">
        <v>13</v>
      </c>
      <c r="T47" s="3" t="s">
        <v>3</v>
      </c>
      <c r="U47" s="119" t="s">
        <v>14</v>
      </c>
      <c r="V47" s="414"/>
      <c r="W47" s="414"/>
    </row>
    <row r="48" spans="1:23" ht="15.75">
      <c r="A48" s="461"/>
      <c r="B48" s="461"/>
      <c r="C48" s="461"/>
      <c r="D48" s="461"/>
      <c r="E48" s="461"/>
      <c r="F48" s="461"/>
      <c r="G48" s="3" t="s">
        <v>15</v>
      </c>
      <c r="H48" s="233" t="s">
        <v>16</v>
      </c>
      <c r="I48" s="233" t="s">
        <v>17</v>
      </c>
      <c r="M48" s="461"/>
      <c r="N48" s="461"/>
      <c r="O48" s="461"/>
      <c r="P48" s="461"/>
      <c r="Q48" s="461"/>
      <c r="R48" s="461"/>
      <c r="S48" s="3" t="s">
        <v>15</v>
      </c>
      <c r="T48" s="233" t="s">
        <v>16</v>
      </c>
      <c r="U48" s="417" t="s">
        <v>17</v>
      </c>
      <c r="V48" s="414"/>
      <c r="W48" s="414"/>
    </row>
    <row r="49" spans="1:23" ht="15.75">
      <c r="A49" s="4" t="s">
        <v>18</v>
      </c>
      <c r="B49" s="3" t="s">
        <v>19</v>
      </c>
      <c r="C49" s="545" t="s">
        <v>156</v>
      </c>
      <c r="D49" s="546"/>
      <c r="E49" s="546"/>
      <c r="F49" s="547"/>
      <c r="G49" s="5">
        <f>0.193^2*0.7854*8.89*16/10*1.02</f>
        <v>0.4244508721918081</v>
      </c>
      <c r="H49" s="67">
        <f>(J49+1055)/1000/1.13+1.18</f>
        <v>92.210973451327447</v>
      </c>
      <c r="I49" s="234">
        <f>G49*H49</f>
        <v>39.139028107071596</v>
      </c>
      <c r="J49" s="228">
        <v>101810</v>
      </c>
      <c r="M49" s="4" t="s">
        <v>18</v>
      </c>
      <c r="N49" s="3" t="s">
        <v>19</v>
      </c>
      <c r="O49" s="545" t="s">
        <v>156</v>
      </c>
      <c r="P49" s="546"/>
      <c r="Q49" s="546"/>
      <c r="R49" s="547"/>
      <c r="S49" s="5">
        <v>0.4244508721918081</v>
      </c>
      <c r="T49" s="67">
        <v>94.149026548672595</v>
      </c>
      <c r="U49" s="119">
        <v>39.961636434593778</v>
      </c>
      <c r="V49" s="192">
        <v>104000</v>
      </c>
      <c r="W49" s="414"/>
    </row>
    <row r="50" spans="1:23" ht="17.25">
      <c r="A50" s="4">
        <v>2</v>
      </c>
      <c r="B50" s="3" t="s">
        <v>20</v>
      </c>
      <c r="C50" s="545" t="s">
        <v>318</v>
      </c>
      <c r="D50" s="546"/>
      <c r="E50" s="546"/>
      <c r="F50" s="547"/>
      <c r="G50" s="5">
        <f>(1.53^2-0.88^2*0.85)*0.7854*1.4/10</f>
        <v>0.18501856295999999</v>
      </c>
      <c r="H50" s="413">
        <v>11.02</v>
      </c>
      <c r="I50" s="234">
        <f>G50*H50</f>
        <v>2.0389045638191998</v>
      </c>
      <c r="M50" s="4">
        <v>2</v>
      </c>
      <c r="N50" s="3" t="s">
        <v>20</v>
      </c>
      <c r="O50" s="545" t="s">
        <v>283</v>
      </c>
      <c r="P50" s="546"/>
      <c r="Q50" s="546"/>
      <c r="R50" s="547"/>
      <c r="S50" s="5">
        <v>0.18501856295999999</v>
      </c>
      <c r="T50" s="413">
        <v>11.02</v>
      </c>
      <c r="U50" s="119">
        <v>2.0389045638191998</v>
      </c>
      <c r="V50" s="192"/>
      <c r="W50" s="414"/>
    </row>
    <row r="51" spans="1:23" ht="15.75">
      <c r="A51" s="4"/>
      <c r="B51" s="3" t="s">
        <v>271</v>
      </c>
      <c r="C51" s="410" t="s">
        <v>272</v>
      </c>
      <c r="D51" s="411"/>
      <c r="E51" s="411"/>
      <c r="F51" s="412"/>
      <c r="G51" s="5">
        <f>G50*0.03</f>
        <v>5.5505568887999996E-3</v>
      </c>
      <c r="H51" s="236">
        <f>38/1.13</f>
        <v>33.628318584070797</v>
      </c>
      <c r="I51" s="234">
        <f>G51*H51</f>
        <v>0.18665589537557523</v>
      </c>
      <c r="M51" s="4"/>
      <c r="N51" s="3" t="s">
        <v>271</v>
      </c>
      <c r="O51" s="410" t="s">
        <v>272</v>
      </c>
      <c r="P51" s="411"/>
      <c r="Q51" s="411"/>
      <c r="R51" s="412"/>
      <c r="S51" s="5">
        <v>5.5505568887999996E-3</v>
      </c>
      <c r="T51" s="413">
        <v>33.628318584070797</v>
      </c>
      <c r="U51" s="119">
        <v>0.18665589537557523</v>
      </c>
      <c r="V51" s="414"/>
      <c r="W51" s="414"/>
    </row>
    <row r="52" spans="1:23" ht="15.75">
      <c r="A52" s="6" t="s">
        <v>21</v>
      </c>
      <c r="B52" s="78">
        <f>I52/100</f>
        <v>0.41364588566266369</v>
      </c>
      <c r="C52" s="465" t="s">
        <v>22</v>
      </c>
      <c r="D52" s="465"/>
      <c r="E52" s="465"/>
      <c r="F52" s="465"/>
      <c r="G52" s="7">
        <f>SUM(G49:G51)/100</f>
        <v>6.1501999204060806E-3</v>
      </c>
      <c r="H52" s="8" t="s">
        <v>23</v>
      </c>
      <c r="I52" s="79">
        <f>SUM(I49:I51)</f>
        <v>41.36458856626637</v>
      </c>
      <c r="J52" s="335">
        <f>B52/I61</f>
        <v>0.88402516182303181</v>
      </c>
      <c r="M52" s="6" t="s">
        <v>21</v>
      </c>
      <c r="N52" s="78">
        <v>0.42187196893788553</v>
      </c>
      <c r="O52" s="465" t="s">
        <v>22</v>
      </c>
      <c r="P52" s="465"/>
      <c r="Q52" s="465"/>
      <c r="R52" s="465"/>
      <c r="S52" s="7">
        <v>6.1501999204060806E-3</v>
      </c>
      <c r="T52" s="8" t="s">
        <v>23</v>
      </c>
      <c r="U52" s="420">
        <v>42.187196893788553</v>
      </c>
      <c r="V52" s="370">
        <v>0.85366840705698099</v>
      </c>
      <c r="W52" s="414"/>
    </row>
    <row r="53" spans="1:23" ht="36" customHeight="1">
      <c r="A53" s="9" t="s">
        <v>12</v>
      </c>
      <c r="B53" s="10" t="s">
        <v>24</v>
      </c>
      <c r="C53" s="10" t="s">
        <v>136</v>
      </c>
      <c r="D53" s="9" t="s">
        <v>25</v>
      </c>
      <c r="E53" s="9" t="s">
        <v>26</v>
      </c>
      <c r="F53" s="10" t="s">
        <v>27</v>
      </c>
      <c r="G53" s="10" t="s">
        <v>28</v>
      </c>
      <c r="H53" s="11" t="s">
        <v>29</v>
      </c>
      <c r="I53" s="9" t="s">
        <v>30</v>
      </c>
      <c r="M53" s="9" t="s">
        <v>12</v>
      </c>
      <c r="N53" s="10" t="s">
        <v>24</v>
      </c>
      <c r="O53" s="10" t="s">
        <v>136</v>
      </c>
      <c r="P53" s="9" t="s">
        <v>25</v>
      </c>
      <c r="Q53" s="9" t="s">
        <v>26</v>
      </c>
      <c r="R53" s="10" t="s">
        <v>27</v>
      </c>
      <c r="S53" s="10" t="s">
        <v>28</v>
      </c>
      <c r="T53" s="11" t="s">
        <v>29</v>
      </c>
      <c r="U53" s="418" t="s">
        <v>30</v>
      </c>
      <c r="V53" s="414"/>
      <c r="W53" s="414"/>
    </row>
    <row r="54" spans="1:23" ht="15.75">
      <c r="A54" s="3" t="s">
        <v>19</v>
      </c>
      <c r="B54" s="415">
        <v>0.2</v>
      </c>
      <c r="C54" s="12">
        <v>0</v>
      </c>
      <c r="D54" s="70">
        <v>15</v>
      </c>
      <c r="E54" s="70">
        <f>B54*D54*G59/1000+C54*D54*G57</f>
        <v>150</v>
      </c>
      <c r="F54" s="70">
        <v>0.5</v>
      </c>
      <c r="G54" s="70">
        <v>0</v>
      </c>
      <c r="H54" s="72">
        <f>F54*I49</f>
        <v>19.569514053535798</v>
      </c>
      <c r="I54" s="70">
        <f>E54+H54*G57</f>
        <v>169.56951405353578</v>
      </c>
      <c r="M54" s="3" t="s">
        <v>19</v>
      </c>
      <c r="N54" s="415">
        <v>0.2</v>
      </c>
      <c r="O54" s="12">
        <v>0</v>
      </c>
      <c r="P54" s="70">
        <v>15</v>
      </c>
      <c r="Q54" s="70">
        <v>150</v>
      </c>
      <c r="R54" s="70">
        <v>0.5</v>
      </c>
      <c r="S54" s="70">
        <v>0</v>
      </c>
      <c r="T54" s="72">
        <v>19.980818217296889</v>
      </c>
      <c r="U54" s="119">
        <v>169.9808182172969</v>
      </c>
      <c r="V54" s="414"/>
      <c r="W54" s="414"/>
    </row>
    <row r="55" spans="1:23" ht="15.75">
      <c r="A55" s="3" t="s">
        <v>20</v>
      </c>
      <c r="B55" s="415">
        <f>1000/60/280</f>
        <v>5.9523809523809527E-2</v>
      </c>
      <c r="C55" s="12">
        <v>0</v>
      </c>
      <c r="D55" s="70">
        <v>120</v>
      </c>
      <c r="E55" s="70">
        <f>B55*D55*G59/1000+C55*D55*G57</f>
        <v>357.14285714285717</v>
      </c>
      <c r="F55" s="70">
        <v>0.5</v>
      </c>
      <c r="G55" s="70">
        <v>5</v>
      </c>
      <c r="H55" s="72">
        <f>F55*I52+G55*H50</f>
        <v>75.782294283133183</v>
      </c>
      <c r="I55" s="70">
        <f>E55+H55*G57</f>
        <v>432.92515142599035</v>
      </c>
      <c r="M55" s="3" t="s">
        <v>20</v>
      </c>
      <c r="N55" s="415">
        <v>5.9523809523809527E-2</v>
      </c>
      <c r="O55" s="12">
        <v>0</v>
      </c>
      <c r="P55" s="70">
        <v>120</v>
      </c>
      <c r="Q55" s="70">
        <v>357.14285714285717</v>
      </c>
      <c r="R55" s="70">
        <v>0.5</v>
      </c>
      <c r="S55" s="70">
        <v>5</v>
      </c>
      <c r="T55" s="72">
        <v>76.193598446894271</v>
      </c>
      <c r="U55" s="119">
        <v>433.33645558975144</v>
      </c>
      <c r="V55" s="414"/>
      <c r="W55" s="414"/>
    </row>
    <row r="56" spans="1:23" ht="24">
      <c r="A56" s="437" t="s">
        <v>31</v>
      </c>
      <c r="B56" s="438"/>
      <c r="C56" s="16" t="s">
        <v>32</v>
      </c>
      <c r="D56" s="73" t="s">
        <v>33</v>
      </c>
      <c r="E56" s="73" t="s">
        <v>34</v>
      </c>
      <c r="F56" s="85" t="s">
        <v>144</v>
      </c>
      <c r="G56" s="86" t="s">
        <v>35</v>
      </c>
      <c r="H56" s="76" t="s">
        <v>36</v>
      </c>
      <c r="I56" s="77">
        <f>SUM(I54:I55)</f>
        <v>602.49466547952613</v>
      </c>
      <c r="M56" s="437" t="s">
        <v>31</v>
      </c>
      <c r="N56" s="438"/>
      <c r="O56" s="16" t="s">
        <v>32</v>
      </c>
      <c r="P56" s="73" t="s">
        <v>33</v>
      </c>
      <c r="Q56" s="73" t="s">
        <v>34</v>
      </c>
      <c r="R56" s="85" t="s">
        <v>144</v>
      </c>
      <c r="S56" s="86" t="s">
        <v>35</v>
      </c>
      <c r="T56" s="76" t="s">
        <v>36</v>
      </c>
      <c r="U56" s="115">
        <v>603.31727380704831</v>
      </c>
      <c r="V56" s="414"/>
      <c r="W56" s="414"/>
    </row>
    <row r="57" spans="1:23" ht="15">
      <c r="A57" s="439"/>
      <c r="B57" s="440"/>
      <c r="C57" s="277">
        <v>0</v>
      </c>
      <c r="D57" s="277">
        <v>0.8</v>
      </c>
      <c r="E57" s="20">
        <v>6.9999999999999999E-4</v>
      </c>
      <c r="F57" s="325">
        <v>1.2999999999999999E-2</v>
      </c>
      <c r="G57" s="80">
        <v>1</v>
      </c>
      <c r="H57" s="443" t="s">
        <v>37</v>
      </c>
      <c r="I57" s="463" t="s">
        <v>137</v>
      </c>
      <c r="M57" s="439"/>
      <c r="N57" s="440"/>
      <c r="O57" s="277">
        <v>0</v>
      </c>
      <c r="P57" s="277">
        <v>0.8</v>
      </c>
      <c r="Q57" s="20">
        <v>6.9999999999999999E-4</v>
      </c>
      <c r="R57" s="325">
        <v>1.2999999999999999E-2</v>
      </c>
      <c r="S57" s="80">
        <v>1</v>
      </c>
      <c r="T57" s="443" t="s">
        <v>37</v>
      </c>
      <c r="U57" s="596" t="s">
        <v>137</v>
      </c>
      <c r="V57" s="414"/>
      <c r="W57" s="414"/>
    </row>
    <row r="58" spans="1:23" ht="24">
      <c r="A58" s="439"/>
      <c r="B58" s="440"/>
      <c r="C58" s="52" t="s">
        <v>31</v>
      </c>
      <c r="D58" s="21" t="s">
        <v>38</v>
      </c>
      <c r="E58" s="16" t="s">
        <v>39</v>
      </c>
      <c r="F58" s="19" t="s">
        <v>40</v>
      </c>
      <c r="G58" s="22" t="s">
        <v>41</v>
      </c>
      <c r="H58" s="443"/>
      <c r="I58" s="464"/>
      <c r="J58" s="26" t="s">
        <v>351</v>
      </c>
      <c r="K58" s="26" t="s">
        <v>352</v>
      </c>
      <c r="M58" s="439"/>
      <c r="N58" s="440"/>
      <c r="O58" s="214" t="s">
        <v>105</v>
      </c>
      <c r="P58" s="278" t="s">
        <v>106</v>
      </c>
      <c r="Q58" s="16" t="s">
        <v>39</v>
      </c>
      <c r="R58" s="19" t="s">
        <v>40</v>
      </c>
      <c r="S58" s="22" t="s">
        <v>41</v>
      </c>
      <c r="T58" s="443"/>
      <c r="U58" s="597"/>
      <c r="V58" s="414"/>
      <c r="W58" s="414"/>
    </row>
    <row r="59" spans="1:23" ht="18.75">
      <c r="A59" s="439"/>
      <c r="B59" s="440"/>
      <c r="C59" s="149">
        <f>100/2</f>
        <v>50</v>
      </c>
      <c r="D59" s="112">
        <v>3.0300000000000001E-2</v>
      </c>
      <c r="E59" s="279">
        <v>0</v>
      </c>
      <c r="F59" s="147">
        <v>0</v>
      </c>
      <c r="G59" s="280">
        <v>50000</v>
      </c>
      <c r="H59" s="23">
        <f>I56/G59+B52+B52*F57</f>
        <v>0.43107317548586882</v>
      </c>
      <c r="I59" s="62">
        <f>(H59/(1-D59)+C57+E57+E59/G59+C59/G59+C61*D61+D57*G52)*(1+F59)*(1+E61+F61)</f>
        <v>0.46582577990599877</v>
      </c>
      <c r="J59">
        <v>0.48597274336283186</v>
      </c>
      <c r="K59" s="274">
        <f>I61/J59-1</f>
        <v>-3.7164330800670276E-2</v>
      </c>
      <c r="M59" s="439"/>
      <c r="N59" s="440"/>
      <c r="O59" s="366">
        <v>66.666666666666671</v>
      </c>
      <c r="P59" s="219">
        <v>0.06</v>
      </c>
      <c r="Q59" s="279">
        <v>0</v>
      </c>
      <c r="R59" s="147">
        <v>0</v>
      </c>
      <c r="S59" s="280">
        <v>50000</v>
      </c>
      <c r="T59" s="23">
        <v>0.43942265001021902</v>
      </c>
      <c r="U59" s="116">
        <v>0.48984319045576374</v>
      </c>
      <c r="V59" s="414"/>
      <c r="W59" s="414"/>
    </row>
    <row r="60" spans="1:23">
      <c r="A60" s="439"/>
      <c r="B60" s="440"/>
      <c r="C60" s="17" t="s">
        <v>42</v>
      </c>
      <c r="D60" s="17" t="s">
        <v>43</v>
      </c>
      <c r="E60" s="214" t="s">
        <v>101</v>
      </c>
      <c r="F60" s="214" t="s">
        <v>102</v>
      </c>
      <c r="G60" s="214" t="s">
        <v>103</v>
      </c>
      <c r="H60" s="24" t="s">
        <v>44</v>
      </c>
      <c r="I60" s="63" t="s">
        <v>45</v>
      </c>
      <c r="J60" s="26" t="s">
        <v>104</v>
      </c>
      <c r="M60" s="439"/>
      <c r="N60" s="440"/>
      <c r="O60" s="17" t="s">
        <v>42</v>
      </c>
      <c r="P60" s="17" t="s">
        <v>43</v>
      </c>
      <c r="Q60" s="214" t="s">
        <v>101</v>
      </c>
      <c r="R60" s="214" t="s">
        <v>102</v>
      </c>
      <c r="S60" s="214" t="s">
        <v>103</v>
      </c>
      <c r="T60" s="24" t="s">
        <v>44</v>
      </c>
      <c r="U60" s="117" t="s">
        <v>45</v>
      </c>
      <c r="V60" s="414"/>
      <c r="W60" s="414"/>
    </row>
    <row r="61" spans="1:23" ht="18.75">
      <c r="A61" s="441"/>
      <c r="B61" s="442"/>
      <c r="C61" s="83">
        <v>0</v>
      </c>
      <c r="D61" s="25">
        <v>0</v>
      </c>
      <c r="E61" s="144">
        <f>0.5%+0.5%</f>
        <v>0.01</v>
      </c>
      <c r="F61" s="144">
        <f>0.25%*3+0.25%*6</f>
        <v>2.2499999999999999E-2</v>
      </c>
      <c r="G61" s="231">
        <v>0.15</v>
      </c>
      <c r="H61" s="23">
        <f>(H59+C57+E57+E59/G59+C59/G59+C61*D61+D57*G52)*(1+F59)*(1+E61+F61)</f>
        <v>0.45191836882341496</v>
      </c>
      <c r="I61" s="62">
        <f>I59+(I59-H61)*G61</f>
        <v>0.46791189156838636</v>
      </c>
      <c r="J61" s="223" t="s">
        <v>320</v>
      </c>
      <c r="K61" s="274">
        <f>I61/J61-1</f>
        <v>-4.083600277315913E-5</v>
      </c>
      <c r="M61" s="441"/>
      <c r="N61" s="442"/>
      <c r="O61" s="83">
        <v>0</v>
      </c>
      <c r="P61" s="25">
        <v>0</v>
      </c>
      <c r="Q61" s="144">
        <v>0.01</v>
      </c>
      <c r="R61" s="144">
        <v>2.2499999999999999E-2</v>
      </c>
      <c r="S61" s="231">
        <v>0.15</v>
      </c>
      <c r="T61" s="23">
        <v>0.46088336793647322</v>
      </c>
      <c r="U61" s="116">
        <v>0.49418716383365735</v>
      </c>
      <c r="V61" s="414"/>
      <c r="W61" s="414"/>
    </row>
  </sheetData>
  <mergeCells count="86">
    <mergeCell ref="O30:R30"/>
    <mergeCell ref="O31:R31"/>
    <mergeCell ref="O52:R52"/>
    <mergeCell ref="T38:T39"/>
    <mergeCell ref="U38:U39"/>
    <mergeCell ref="M37:N42"/>
    <mergeCell ref="U57:U58"/>
    <mergeCell ref="M47:M48"/>
    <mergeCell ref="N47:N48"/>
    <mergeCell ref="O47:R48"/>
    <mergeCell ref="M56:N61"/>
    <mergeCell ref="T57:T58"/>
    <mergeCell ref="N45:R45"/>
    <mergeCell ref="T45:U45"/>
    <mergeCell ref="N46:R46"/>
    <mergeCell ref="T46:U46"/>
    <mergeCell ref="O49:R49"/>
    <mergeCell ref="O50:R50"/>
    <mergeCell ref="M24:U24"/>
    <mergeCell ref="N26:R26"/>
    <mergeCell ref="T26:U26"/>
    <mergeCell ref="M28:M29"/>
    <mergeCell ref="N28:N29"/>
    <mergeCell ref="O28:R29"/>
    <mergeCell ref="M1:U1"/>
    <mergeCell ref="V1:W2"/>
    <mergeCell ref="N3:R3"/>
    <mergeCell ref="T3:U3"/>
    <mergeCell ref="N4:R4"/>
    <mergeCell ref="T4:U4"/>
    <mergeCell ref="A5:A6"/>
    <mergeCell ref="B5:B6"/>
    <mergeCell ref="C5:F6"/>
    <mergeCell ref="O9:R9"/>
    <mergeCell ref="M43:U43"/>
    <mergeCell ref="N27:R27"/>
    <mergeCell ref="T27:U27"/>
    <mergeCell ref="O32:R32"/>
    <mergeCell ref="M5:M6"/>
    <mergeCell ref="N5:N6"/>
    <mergeCell ref="O5:R6"/>
    <mergeCell ref="O7:R7"/>
    <mergeCell ref="O8:R8"/>
    <mergeCell ref="M14:N19"/>
    <mergeCell ref="T15:T16"/>
    <mergeCell ref="U15:U16"/>
    <mergeCell ref="A1:I1"/>
    <mergeCell ref="B3:F3"/>
    <mergeCell ref="H3:I3"/>
    <mergeCell ref="B4:F4"/>
    <mergeCell ref="H4:I4"/>
    <mergeCell ref="A28:A29"/>
    <mergeCell ref="B28:B29"/>
    <mergeCell ref="C28:F29"/>
    <mergeCell ref="C7:F7"/>
    <mergeCell ref="C8:F8"/>
    <mergeCell ref="C9:F9"/>
    <mergeCell ref="A14:B19"/>
    <mergeCell ref="A24:I24"/>
    <mergeCell ref="B26:F26"/>
    <mergeCell ref="H26:I26"/>
    <mergeCell ref="B27:F27"/>
    <mergeCell ref="H27:I27"/>
    <mergeCell ref="H15:H16"/>
    <mergeCell ref="I15:I16"/>
    <mergeCell ref="C31:F31"/>
    <mergeCell ref="C32:F32"/>
    <mergeCell ref="A37:B42"/>
    <mergeCell ref="H38:H39"/>
    <mergeCell ref="I38:I39"/>
    <mergeCell ref="J1:K2"/>
    <mergeCell ref="C49:F49"/>
    <mergeCell ref="C50:F50"/>
    <mergeCell ref="C52:F52"/>
    <mergeCell ref="A56:B61"/>
    <mergeCell ref="H57:H58"/>
    <mergeCell ref="I57:I58"/>
    <mergeCell ref="A43:I43"/>
    <mergeCell ref="B45:F45"/>
    <mergeCell ref="H45:I45"/>
    <mergeCell ref="B46:F46"/>
    <mergeCell ref="H46:I46"/>
    <mergeCell ref="A47:A48"/>
    <mergeCell ref="B47:B48"/>
    <mergeCell ref="C47:F48"/>
    <mergeCell ref="C30:F30"/>
  </mergeCells>
  <phoneticPr fontId="7" type="noConversion"/>
  <conditionalFormatting sqref="I21:L23">
    <cfRule type="expression" dxfId="4" priority="1">
      <formula>AND(I21=#REF!,I21&lt;&gt;"",I21&lt;&gt;0)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1CEE3-EE2E-4CD6-B0B7-8E5D6310DF6A}">
  <sheetPr codeName="Sheet167"/>
  <dimension ref="A1:HU109"/>
  <sheetViews>
    <sheetView workbookViewId="0">
      <selection activeCell="P27" sqref="P27"/>
    </sheetView>
  </sheetViews>
  <sheetFormatPr defaultRowHeight="14.25"/>
  <cols>
    <col min="3" max="9" width="13.5" customWidth="1"/>
    <col min="11" max="12" width="12.25" bestFit="1" customWidth="1"/>
    <col min="21" max="21" width="11.75" customWidth="1"/>
  </cols>
  <sheetData>
    <row r="1" spans="1:24" ht="25.5">
      <c r="A1" s="446" t="s">
        <v>46</v>
      </c>
      <c r="B1" s="446"/>
      <c r="C1" s="446"/>
      <c r="D1" s="446"/>
      <c r="E1" s="446"/>
      <c r="F1" s="446"/>
      <c r="G1" s="446"/>
      <c r="H1" s="446"/>
      <c r="I1" s="446"/>
      <c r="J1" s="505" t="s">
        <v>297</v>
      </c>
      <c r="K1" s="505"/>
      <c r="L1" s="239" t="s">
        <v>298</v>
      </c>
      <c r="M1" s="446" t="s">
        <v>162</v>
      </c>
      <c r="N1" s="446"/>
      <c r="O1" s="446"/>
      <c r="P1" s="446"/>
      <c r="Q1" s="446"/>
      <c r="R1" s="446"/>
      <c r="S1" s="446"/>
      <c r="T1" s="446"/>
      <c r="U1" s="446"/>
      <c r="V1" s="505" t="s">
        <v>125</v>
      </c>
      <c r="W1" s="505"/>
      <c r="X1" s="239"/>
    </row>
    <row r="2" spans="1:24" ht="25.5">
      <c r="A2" s="28"/>
      <c r="B2" s="28"/>
      <c r="C2" s="28"/>
      <c r="D2" s="28"/>
      <c r="E2" s="29"/>
      <c r="F2" s="30"/>
      <c r="G2" s="30"/>
      <c r="H2" s="30" t="s">
        <v>47</v>
      </c>
      <c r="I2" s="58" t="s">
        <v>200</v>
      </c>
      <c r="J2" s="505"/>
      <c r="K2" s="505"/>
      <c r="M2" s="28"/>
      <c r="N2" s="28"/>
      <c r="O2" s="28"/>
      <c r="P2" s="28"/>
      <c r="Q2" s="29"/>
      <c r="R2" s="30"/>
      <c r="S2" s="30"/>
      <c r="T2" s="30" t="s">
        <v>47</v>
      </c>
      <c r="U2" s="58" t="s">
        <v>200</v>
      </c>
      <c r="V2" s="505"/>
      <c r="W2" s="505"/>
      <c r="X2" s="239" t="s">
        <v>224</v>
      </c>
    </row>
    <row r="3" spans="1:24">
      <c r="A3" s="31" t="s">
        <v>48</v>
      </c>
      <c r="B3" s="453" t="s">
        <v>353</v>
      </c>
      <c r="C3" s="453"/>
      <c r="D3" s="453"/>
      <c r="E3" s="453"/>
      <c r="F3" s="453"/>
      <c r="G3" s="31" t="s">
        <v>49</v>
      </c>
      <c r="H3" s="447" t="s">
        <v>354</v>
      </c>
      <c r="I3" s="447"/>
      <c r="J3" s="223" t="s">
        <v>356</v>
      </c>
      <c r="M3" s="31" t="s">
        <v>48</v>
      </c>
      <c r="N3" s="453" t="s">
        <v>201</v>
      </c>
      <c r="O3" s="453"/>
      <c r="P3" s="453"/>
      <c r="Q3" s="453"/>
      <c r="R3" s="453"/>
      <c r="S3" s="31" t="s">
        <v>49</v>
      </c>
      <c r="T3" s="447" t="s">
        <v>242</v>
      </c>
      <c r="U3" s="447"/>
    </row>
    <row r="4" spans="1:24" ht="24.75" customHeight="1">
      <c r="A4" s="31" t="s">
        <v>50</v>
      </c>
      <c r="B4" s="448" t="s">
        <v>168</v>
      </c>
      <c r="C4" s="449"/>
      <c r="D4" s="449"/>
      <c r="E4" s="449"/>
      <c r="F4" s="450"/>
      <c r="G4" s="31" t="s">
        <v>51</v>
      </c>
      <c r="H4" s="451" t="s">
        <v>202</v>
      </c>
      <c r="I4" s="451"/>
      <c r="M4" s="31" t="s">
        <v>50</v>
      </c>
      <c r="N4" s="448" t="s">
        <v>168</v>
      </c>
      <c r="O4" s="449"/>
      <c r="P4" s="449"/>
      <c r="Q4" s="449"/>
      <c r="R4" s="450"/>
      <c r="S4" s="31" t="s">
        <v>51</v>
      </c>
      <c r="T4" s="451" t="s">
        <v>202</v>
      </c>
      <c r="U4" s="451"/>
    </row>
    <row r="5" spans="1:24">
      <c r="A5" s="452" t="s">
        <v>52</v>
      </c>
      <c r="B5" s="462" t="s">
        <v>53</v>
      </c>
      <c r="C5" s="453" t="s">
        <v>151</v>
      </c>
      <c r="D5" s="453"/>
      <c r="E5" s="453"/>
      <c r="F5" s="453"/>
      <c r="G5" s="31" t="s">
        <v>55</v>
      </c>
      <c r="H5" s="31" t="s">
        <v>56</v>
      </c>
      <c r="I5" s="31" t="s">
        <v>57</v>
      </c>
      <c r="M5" s="452" t="s">
        <v>52</v>
      </c>
      <c r="N5" s="462" t="s">
        <v>53</v>
      </c>
      <c r="O5" s="453" t="s">
        <v>151</v>
      </c>
      <c r="P5" s="453"/>
      <c r="Q5" s="453"/>
      <c r="R5" s="453"/>
      <c r="S5" s="31" t="s">
        <v>55</v>
      </c>
      <c r="T5" s="31" t="s">
        <v>56</v>
      </c>
      <c r="U5" s="31" t="s">
        <v>57</v>
      </c>
    </row>
    <row r="6" spans="1:24" ht="15.75">
      <c r="A6" s="452"/>
      <c r="B6" s="452"/>
      <c r="C6" s="453"/>
      <c r="D6" s="453"/>
      <c r="E6" s="453"/>
      <c r="F6" s="453"/>
      <c r="G6" s="31" t="s">
        <v>58</v>
      </c>
      <c r="H6" s="32" t="s">
        <v>59</v>
      </c>
      <c r="I6" s="32" t="s">
        <v>60</v>
      </c>
      <c r="M6" s="452"/>
      <c r="N6" s="452"/>
      <c r="O6" s="453"/>
      <c r="P6" s="453"/>
      <c r="Q6" s="453"/>
      <c r="R6" s="453"/>
      <c r="S6" s="31" t="s">
        <v>58</v>
      </c>
      <c r="T6" s="32" t="s">
        <v>59</v>
      </c>
      <c r="U6" s="32" t="s">
        <v>60</v>
      </c>
    </row>
    <row r="7" spans="1:24" ht="15.75">
      <c r="A7" s="243" t="s">
        <v>61</v>
      </c>
      <c r="B7" s="242" t="s">
        <v>62</v>
      </c>
      <c r="C7" s="541" t="s">
        <v>169</v>
      </c>
      <c r="D7" s="542"/>
      <c r="E7" s="542"/>
      <c r="F7" s="543"/>
      <c r="G7" s="246">
        <f>0.1935^2*0.7854*8.89*1596*1.012*1.015/10</f>
        <v>42.858210974888401</v>
      </c>
      <c r="H7" s="305">
        <f>(J7+1055)/1000/1.13+0.8</f>
        <v>91.999115044247802</v>
      </c>
      <c r="I7" s="59">
        <f>G7*H7</f>
        <v>3942.9174820694016</v>
      </c>
      <c r="J7" s="223" t="s">
        <v>199</v>
      </c>
      <c r="K7" s="240" t="b">
        <f>C7=O7</f>
        <v>1</v>
      </c>
      <c r="L7" s="286">
        <f>G7-S7</f>
        <v>-0.66704384607270839</v>
      </c>
      <c r="M7" s="243" t="s">
        <v>61</v>
      </c>
      <c r="N7" s="242" t="s">
        <v>62</v>
      </c>
      <c r="O7" s="541" t="s">
        <v>169</v>
      </c>
      <c r="P7" s="542"/>
      <c r="Q7" s="542"/>
      <c r="R7" s="543"/>
      <c r="S7" s="246">
        <f>0.195^2*0.7854*8.89*1596*1.012*1.015/10</f>
        <v>43.525254820961109</v>
      </c>
      <c r="T7" s="305">
        <f>(V7+1055)/1000/1.13+0.8</f>
        <v>91.999115044247802</v>
      </c>
      <c r="U7" s="59">
        <f>S7*T7</f>
        <v>4004.2849256038025</v>
      </c>
      <c r="V7" s="223" t="s">
        <v>199</v>
      </c>
      <c r="W7" s="240" t="b">
        <f>O7=AA7</f>
        <v>0</v>
      </c>
    </row>
    <row r="8" spans="1:24" ht="15.75">
      <c r="A8" s="242">
        <v>2</v>
      </c>
      <c r="B8" s="242" t="s">
        <v>63</v>
      </c>
      <c r="C8" s="544" t="s">
        <v>355</v>
      </c>
      <c r="D8" s="542"/>
      <c r="E8" s="542"/>
      <c r="F8" s="543"/>
      <c r="G8" s="92">
        <f>(11.9^2-9.3^2*0.9)*0.7854*1.2/10</f>
        <v>6.0101007119999998</v>
      </c>
      <c r="H8" s="326">
        <f>28.0531+0.3</f>
        <v>28.353100000000001</v>
      </c>
      <c r="I8" s="59">
        <f>G8*H8</f>
        <v>170.40498649740721</v>
      </c>
      <c r="K8" s="240" t="b">
        <f>C8=O8</f>
        <v>1</v>
      </c>
      <c r="L8" s="286">
        <f t="shared" ref="L8:L11" si="0">G8-S8</f>
        <v>0</v>
      </c>
      <c r="M8" s="242">
        <v>2</v>
      </c>
      <c r="N8" s="242" t="s">
        <v>63</v>
      </c>
      <c r="O8" s="544" t="s">
        <v>207</v>
      </c>
      <c r="P8" s="542"/>
      <c r="Q8" s="542"/>
      <c r="R8" s="543"/>
      <c r="S8" s="92">
        <f>(11.9^2-9.3^2*0.9)*0.7854*1.2/10</f>
        <v>6.0101007119999998</v>
      </c>
      <c r="T8" s="326">
        <f>28.0531+0.3</f>
        <v>28.353100000000001</v>
      </c>
      <c r="U8" s="59">
        <f>S8*T8</f>
        <v>170.40498649740721</v>
      </c>
      <c r="W8" s="240" t="b">
        <f t="shared" ref="W8:W11" si="1">O8=AA8</f>
        <v>0</v>
      </c>
    </row>
    <row r="9" spans="1:24" ht="15.75">
      <c r="A9" s="242">
        <v>4</v>
      </c>
      <c r="B9" s="242" t="s">
        <v>146</v>
      </c>
      <c r="C9" s="247" t="s">
        <v>99</v>
      </c>
      <c r="D9" s="244"/>
      <c r="E9" s="244"/>
      <c r="F9" s="245"/>
      <c r="G9" s="248">
        <f>0.198^2*0.7854*24*8*8.89/(COS(ATAN(2*PI()*(11.9+2*0.198)*6/24/25.4)))*1.03/10</f>
        <v>6.8005890356395566</v>
      </c>
      <c r="H9" s="305">
        <f>(J7+1055)/1000/1.13+5.7</f>
        <v>96.899115044247807</v>
      </c>
      <c r="I9" s="59">
        <f>G9*H9</f>
        <v>658.97105933308762</v>
      </c>
      <c r="K9" s="240" t="b">
        <f>C9=O9</f>
        <v>1</v>
      </c>
      <c r="L9" s="286">
        <f t="shared" si="0"/>
        <v>0</v>
      </c>
      <c r="M9" s="242">
        <v>4</v>
      </c>
      <c r="N9" s="242" t="s">
        <v>146</v>
      </c>
      <c r="O9" s="247" t="s">
        <v>99</v>
      </c>
      <c r="P9" s="244"/>
      <c r="Q9" s="244"/>
      <c r="R9" s="245"/>
      <c r="S9" s="248">
        <f>0.198^2*0.7854*24*8*8.89/(COS(ATAN(2*PI()*(11.9+2*0.198)*6/24/25.4)))*1.03/10</f>
        <v>6.8005890356395566</v>
      </c>
      <c r="T9" s="305">
        <f>(V7+1055)/1000/1.13+5.7</f>
        <v>96.899115044247807</v>
      </c>
      <c r="U9" s="59">
        <f>S9*T9</f>
        <v>658.97105933308762</v>
      </c>
      <c r="W9" s="240" t="b">
        <f t="shared" si="1"/>
        <v>0</v>
      </c>
    </row>
    <row r="10" spans="1:24" ht="15.75">
      <c r="A10" s="242">
        <v>4</v>
      </c>
      <c r="B10" s="242" t="s">
        <v>67</v>
      </c>
      <c r="C10" s="247" t="s">
        <v>167</v>
      </c>
      <c r="D10" s="244"/>
      <c r="E10" s="244"/>
      <c r="F10" s="245"/>
      <c r="G10" s="246">
        <f>3.1416*(12.7+0.035)*0.035*2*1.3/10</f>
        <v>0.36407531160000001</v>
      </c>
      <c r="H10" s="351">
        <v>23.5</v>
      </c>
      <c r="I10" s="59">
        <f>G10*H10</f>
        <v>8.5557698226000003</v>
      </c>
      <c r="K10" s="240" t="b">
        <f>C10=O10</f>
        <v>1</v>
      </c>
      <c r="L10" s="286">
        <f t="shared" si="0"/>
        <v>0</v>
      </c>
      <c r="M10" s="242">
        <v>4</v>
      </c>
      <c r="N10" s="242" t="s">
        <v>67</v>
      </c>
      <c r="O10" s="247" t="s">
        <v>167</v>
      </c>
      <c r="P10" s="244"/>
      <c r="Q10" s="244"/>
      <c r="R10" s="245"/>
      <c r="S10" s="246">
        <f>3.1416*(12.7+0.035)*0.035*2*1.3/10</f>
        <v>0.36407531160000001</v>
      </c>
      <c r="T10" s="351">
        <v>23.5</v>
      </c>
      <c r="U10" s="59">
        <f>S10*T10</f>
        <v>8.5557698226000003</v>
      </c>
      <c r="W10" s="240" t="b">
        <f t="shared" si="1"/>
        <v>0</v>
      </c>
    </row>
    <row r="11" spans="1:24" ht="15.75">
      <c r="A11" s="242">
        <v>5</v>
      </c>
      <c r="B11" s="242" t="s">
        <v>150</v>
      </c>
      <c r="C11" s="544" t="s">
        <v>205</v>
      </c>
      <c r="D11" s="542"/>
      <c r="E11" s="542"/>
      <c r="F11" s="543"/>
      <c r="G11" s="92">
        <f>(15.5^2-12.8^2*0.95)*0.7854*1.2/10</f>
        <v>7.9735692959999982</v>
      </c>
      <c r="H11" s="326">
        <f>28.0531+0.3</f>
        <v>28.353100000000001</v>
      </c>
      <c r="I11" s="59">
        <f>G11*H11</f>
        <v>226.07540760641757</v>
      </c>
      <c r="K11" s="240" t="b">
        <f>C11=O11</f>
        <v>1</v>
      </c>
      <c r="L11" s="286">
        <f t="shared" si="0"/>
        <v>0</v>
      </c>
      <c r="M11" s="242">
        <v>5</v>
      </c>
      <c r="N11" s="242" t="s">
        <v>150</v>
      </c>
      <c r="O11" s="544" t="s">
        <v>205</v>
      </c>
      <c r="P11" s="542"/>
      <c r="Q11" s="542"/>
      <c r="R11" s="543"/>
      <c r="S11" s="92">
        <f>(15.5^2-12.8^2*0.95)*0.7854*1.2/10</f>
        <v>7.9735692959999982</v>
      </c>
      <c r="T11" s="326">
        <f>28.0531+0.3</f>
        <v>28.353100000000001</v>
      </c>
      <c r="U11" s="59">
        <f>S11*T11</f>
        <v>226.07540760641757</v>
      </c>
      <c r="W11" s="240" t="b">
        <f t="shared" si="1"/>
        <v>0</v>
      </c>
    </row>
    <row r="12" spans="1:24" ht="15.75">
      <c r="A12" s="42" t="s">
        <v>69</v>
      </c>
      <c r="B12" s="43">
        <f>I12/100</f>
        <v>50.069247053289139</v>
      </c>
      <c r="C12" s="436" t="s">
        <v>70</v>
      </c>
      <c r="D12" s="436"/>
      <c r="E12" s="436"/>
      <c r="F12" s="436"/>
      <c r="G12" s="43">
        <f>SUM(G7:G11)/100</f>
        <v>0.64006545330127951</v>
      </c>
      <c r="H12" s="44" t="s">
        <v>71</v>
      </c>
      <c r="I12" s="60">
        <f>SUM(I7:I11)</f>
        <v>5006.9247053289137</v>
      </c>
      <c r="J12" s="370">
        <f>B12/I25</f>
        <v>0.85272333051405791</v>
      </c>
      <c r="M12" s="42" t="s">
        <v>69</v>
      </c>
      <c r="N12" s="43">
        <f>U12/100</f>
        <v>50.682921488633156</v>
      </c>
      <c r="O12" s="436" t="s">
        <v>70</v>
      </c>
      <c r="P12" s="436"/>
      <c r="Q12" s="436"/>
      <c r="R12" s="436"/>
      <c r="S12" s="43">
        <f>SUM(S7:S11)/100</f>
        <v>0.64673589176200652</v>
      </c>
      <c r="T12" s="44" t="s">
        <v>71</v>
      </c>
      <c r="U12" s="60">
        <f>SUM(U7:U11)</f>
        <v>5068.2921488633156</v>
      </c>
      <c r="V12" s="281">
        <f>N12/U25</f>
        <v>0.86316732714035671</v>
      </c>
    </row>
    <row r="13" spans="1:24" ht="36">
      <c r="A13" s="249" t="s">
        <v>53</v>
      </c>
      <c r="B13" s="250" t="s">
        <v>72</v>
      </c>
      <c r="C13" s="250" t="s">
        <v>73</v>
      </c>
      <c r="D13" s="249" t="s">
        <v>74</v>
      </c>
      <c r="E13" s="249" t="s">
        <v>75</v>
      </c>
      <c r="F13" s="250" t="s">
        <v>76</v>
      </c>
      <c r="G13" s="250" t="s">
        <v>77</v>
      </c>
      <c r="H13" s="251" t="s">
        <v>78</v>
      </c>
      <c r="I13" s="249" t="s">
        <v>79</v>
      </c>
      <c r="M13" s="249" t="s">
        <v>53</v>
      </c>
      <c r="N13" s="250" t="s">
        <v>72</v>
      </c>
      <c r="O13" s="250" t="s">
        <v>73</v>
      </c>
      <c r="P13" s="249" t="s">
        <v>74</v>
      </c>
      <c r="Q13" s="249" t="s">
        <v>75</v>
      </c>
      <c r="R13" s="250" t="s">
        <v>76</v>
      </c>
      <c r="S13" s="250" t="s">
        <v>77</v>
      </c>
      <c r="T13" s="251" t="s">
        <v>78</v>
      </c>
      <c r="U13" s="249" t="s">
        <v>79</v>
      </c>
    </row>
    <row r="14" spans="1:24" ht="15.75">
      <c r="A14" s="242" t="s">
        <v>62</v>
      </c>
      <c r="B14" s="252">
        <f>1000/60/60*19</f>
        <v>5.2777777777777777</v>
      </c>
      <c r="C14" s="253">
        <v>0</v>
      </c>
      <c r="D14" s="254">
        <v>15</v>
      </c>
      <c r="E14" s="254">
        <f>B14*D14*G23/1000</f>
        <v>3958.3333333333335</v>
      </c>
      <c r="F14" s="255"/>
      <c r="G14" s="71"/>
      <c r="H14" s="256">
        <f>F14*I7</f>
        <v>0</v>
      </c>
      <c r="I14" s="254">
        <f>E14+H14*G21</f>
        <v>3958.3333333333335</v>
      </c>
      <c r="M14" s="242" t="s">
        <v>62</v>
      </c>
      <c r="N14" s="252">
        <f>1000/60/80*19</f>
        <v>3.9583333333333335</v>
      </c>
      <c r="O14" s="253">
        <v>0</v>
      </c>
      <c r="P14" s="254">
        <v>15</v>
      </c>
      <c r="Q14" s="254">
        <f>N14*P14*S23/1000</f>
        <v>2968.75</v>
      </c>
      <c r="R14" s="255"/>
      <c r="S14" s="71"/>
      <c r="T14" s="256">
        <f>R14*U7</f>
        <v>0</v>
      </c>
      <c r="U14" s="254">
        <f>Q14+T14*S21</f>
        <v>2968.75</v>
      </c>
      <c r="V14" s="113" t="s">
        <v>214</v>
      </c>
    </row>
    <row r="15" spans="1:24" ht="15.75">
      <c r="A15" s="242" t="s">
        <v>62</v>
      </c>
      <c r="B15" s="252">
        <f>1000/3000*12</f>
        <v>4</v>
      </c>
      <c r="C15" s="253">
        <v>0</v>
      </c>
      <c r="D15" s="254">
        <v>60</v>
      </c>
      <c r="E15" s="254">
        <f>B15*D15*G23/1000</f>
        <v>12000</v>
      </c>
      <c r="F15" s="255"/>
      <c r="G15" s="71"/>
      <c r="H15" s="256">
        <f>F15*I7</f>
        <v>0</v>
      </c>
      <c r="I15" s="254">
        <f>E15+H15*G21</f>
        <v>12000</v>
      </c>
      <c r="M15" s="242" t="s">
        <v>62</v>
      </c>
      <c r="N15" s="252">
        <f>1000/3000*12</f>
        <v>4</v>
      </c>
      <c r="O15" s="253">
        <v>0</v>
      </c>
      <c r="P15" s="254">
        <v>60</v>
      </c>
      <c r="Q15" s="254">
        <f>N15*P15*S23/1000</f>
        <v>12000</v>
      </c>
      <c r="R15" s="255"/>
      <c r="S15" s="71"/>
      <c r="T15" s="256">
        <f>R15*U7</f>
        <v>0</v>
      </c>
      <c r="U15" s="254">
        <f>Q15+T15*S21</f>
        <v>12000</v>
      </c>
    </row>
    <row r="16" spans="1:24" ht="15.75">
      <c r="A16" s="242" t="s">
        <v>63</v>
      </c>
      <c r="B16" s="252">
        <f>1000/60/20</f>
        <v>0.83333333333333337</v>
      </c>
      <c r="C16" s="253">
        <v>0</v>
      </c>
      <c r="D16" s="254">
        <v>300</v>
      </c>
      <c r="E16" s="254">
        <f>B16*D16*G23/1000</f>
        <v>12500</v>
      </c>
      <c r="F16" s="255"/>
      <c r="G16" s="71"/>
      <c r="H16" s="256">
        <f>F16*(I7+I8)+G16*H8</f>
        <v>0</v>
      </c>
      <c r="I16" s="254">
        <f>E16+H16*G16</f>
        <v>12500</v>
      </c>
      <c r="M16" s="242" t="s">
        <v>63</v>
      </c>
      <c r="N16" s="252">
        <f>1000/60/20</f>
        <v>0.83333333333333337</v>
      </c>
      <c r="O16" s="253">
        <v>0</v>
      </c>
      <c r="P16" s="254">
        <v>300</v>
      </c>
      <c r="Q16" s="254">
        <f>N16*P16*S23/1000</f>
        <v>12500</v>
      </c>
      <c r="R16" s="255"/>
      <c r="S16" s="71"/>
      <c r="T16" s="256">
        <f>R16*(U7+U8)+S16*T8</f>
        <v>0</v>
      </c>
      <c r="U16" s="254">
        <f>Q16+T16*S16</f>
        <v>12500</v>
      </c>
    </row>
    <row r="17" spans="1:226" ht="15.75">
      <c r="A17" s="242" t="s">
        <v>146</v>
      </c>
      <c r="B17" s="252">
        <f>1000/60/2</f>
        <v>8.3333333333333339</v>
      </c>
      <c r="C17" s="253">
        <v>0</v>
      </c>
      <c r="D17" s="254">
        <v>60</v>
      </c>
      <c r="E17" s="254">
        <f>B17*D17*G23/1000</f>
        <v>25000.000000000004</v>
      </c>
      <c r="F17" s="255"/>
      <c r="G17" s="71"/>
      <c r="H17" s="256">
        <f>F17*(I7+I8+I9)</f>
        <v>0</v>
      </c>
      <c r="I17" s="254">
        <f>E17+H17*G21</f>
        <v>25000.000000000004</v>
      </c>
      <c r="M17" s="242" t="s">
        <v>146</v>
      </c>
      <c r="N17" s="252">
        <f>1000/60/2</f>
        <v>8.3333333333333339</v>
      </c>
      <c r="O17" s="253">
        <v>0</v>
      </c>
      <c r="P17" s="254">
        <v>30</v>
      </c>
      <c r="Q17" s="254">
        <f>N17*P17*S23/1000</f>
        <v>12500.000000000002</v>
      </c>
      <c r="R17" s="255"/>
      <c r="S17" s="71"/>
      <c r="T17" s="256">
        <f>R17*(U7+U8+U9)</f>
        <v>0</v>
      </c>
      <c r="U17" s="254">
        <f>Q17+T17*S21</f>
        <v>12500.000000000002</v>
      </c>
    </row>
    <row r="18" spans="1:226" ht="15.75">
      <c r="A18" s="242" t="s">
        <v>149</v>
      </c>
      <c r="B18" s="252">
        <f>1000/60/15</f>
        <v>1.1111111111111112</v>
      </c>
      <c r="C18" s="253">
        <v>0</v>
      </c>
      <c r="D18" s="254">
        <v>30</v>
      </c>
      <c r="E18" s="254">
        <f>B18*D18*G23/1000</f>
        <v>1666.6666666666667</v>
      </c>
      <c r="F18" s="255"/>
      <c r="G18" s="71"/>
      <c r="H18" s="256">
        <f>F18*(I7+I8+I9+I10)</f>
        <v>0</v>
      </c>
      <c r="I18" s="254">
        <f>E18+H18*G21</f>
        <v>1666.6666666666667</v>
      </c>
      <c r="M18" s="242" t="s">
        <v>149</v>
      </c>
      <c r="N18" s="252">
        <f>1000/60/15</f>
        <v>1.1111111111111112</v>
      </c>
      <c r="O18" s="253">
        <v>0</v>
      </c>
      <c r="P18" s="254">
        <v>15</v>
      </c>
      <c r="Q18" s="254">
        <f>N18*P18*S23/1000</f>
        <v>833.33333333333337</v>
      </c>
      <c r="R18" s="255"/>
      <c r="S18" s="71"/>
      <c r="T18" s="256">
        <f>R18*(U7+U8+U9+U10)</f>
        <v>0</v>
      </c>
      <c r="U18" s="254">
        <f>Q18+T18*S21</f>
        <v>833.33333333333337</v>
      </c>
    </row>
    <row r="19" spans="1:226" ht="15.75">
      <c r="A19" s="242" t="s">
        <v>150</v>
      </c>
      <c r="B19" s="252">
        <f>1000/60/15</f>
        <v>1.1111111111111112</v>
      </c>
      <c r="C19" s="253">
        <v>0</v>
      </c>
      <c r="D19" s="254">
        <v>300</v>
      </c>
      <c r="E19" s="254">
        <f>B19*D19*G23/1000</f>
        <v>16666.666666666668</v>
      </c>
      <c r="F19" s="255"/>
      <c r="G19" s="71"/>
      <c r="H19" s="256">
        <f>F19*(SUM(I7:I11))+G19*H11</f>
        <v>0</v>
      </c>
      <c r="I19" s="254">
        <f>E19+H19*G21</f>
        <v>16666.666666666668</v>
      </c>
      <c r="M19" s="242" t="s">
        <v>150</v>
      </c>
      <c r="N19" s="252">
        <f>1000/60/15</f>
        <v>1.1111111111111112</v>
      </c>
      <c r="O19" s="253">
        <v>0</v>
      </c>
      <c r="P19" s="254">
        <v>300</v>
      </c>
      <c r="Q19" s="254">
        <f>N19*P19*S23/1000</f>
        <v>16666.666666666668</v>
      </c>
      <c r="R19" s="255"/>
      <c r="S19" s="71"/>
      <c r="T19" s="256">
        <f>R19*(SUM(U7:U11))+S19*T11</f>
        <v>0</v>
      </c>
      <c r="U19" s="254">
        <f>Q19+T19*S21</f>
        <v>16666.666666666668</v>
      </c>
      <c r="W19" s="286"/>
    </row>
    <row r="20" spans="1:226" ht="24">
      <c r="A20" s="534" t="s">
        <v>147</v>
      </c>
      <c r="B20" s="535"/>
      <c r="C20" s="257" t="s">
        <v>82</v>
      </c>
      <c r="D20" s="258" t="s">
        <v>83</v>
      </c>
      <c r="E20" s="258" t="s">
        <v>84</v>
      </c>
      <c r="F20" s="74" t="s">
        <v>85</v>
      </c>
      <c r="G20" s="75" t="s">
        <v>86</v>
      </c>
      <c r="H20" s="259" t="s">
        <v>87</v>
      </c>
      <c r="I20" s="260">
        <f>SUM(I14:I19)</f>
        <v>71791.666666666672</v>
      </c>
      <c r="M20" s="534" t="s">
        <v>147</v>
      </c>
      <c r="N20" s="535"/>
      <c r="O20" s="257" t="s">
        <v>82</v>
      </c>
      <c r="P20" s="258" t="s">
        <v>83</v>
      </c>
      <c r="Q20" s="258" t="s">
        <v>84</v>
      </c>
      <c r="R20" s="74" t="s">
        <v>85</v>
      </c>
      <c r="S20" s="75" t="s">
        <v>86</v>
      </c>
      <c r="T20" s="259" t="s">
        <v>87</v>
      </c>
      <c r="U20" s="260">
        <f>SUM(U14:U19)</f>
        <v>57468.75</v>
      </c>
    </row>
    <row r="21" spans="1:226" ht="15">
      <c r="A21" s="536"/>
      <c r="B21" s="537"/>
      <c r="C21" s="277">
        <v>0</v>
      </c>
      <c r="D21" s="277">
        <v>0.8</v>
      </c>
      <c r="E21" s="261">
        <v>0.24</v>
      </c>
      <c r="F21" s="128">
        <v>0.02</v>
      </c>
      <c r="G21" s="53">
        <v>1</v>
      </c>
      <c r="H21" s="540" t="s">
        <v>88</v>
      </c>
      <c r="I21" s="444" t="s">
        <v>89</v>
      </c>
      <c r="M21" s="536"/>
      <c r="N21" s="537"/>
      <c r="O21" s="261">
        <v>0</v>
      </c>
      <c r="P21" s="277">
        <v>0.79800000000000004</v>
      </c>
      <c r="Q21" s="261">
        <v>0.24</v>
      </c>
      <c r="R21" s="128">
        <v>0.02</v>
      </c>
      <c r="S21" s="53">
        <v>1</v>
      </c>
      <c r="T21" s="540" t="s">
        <v>88</v>
      </c>
      <c r="U21" s="444" t="s">
        <v>89</v>
      </c>
    </row>
    <row r="22" spans="1:226" ht="24">
      <c r="A22" s="536"/>
      <c r="B22" s="537"/>
      <c r="C22" s="52" t="s">
        <v>31</v>
      </c>
      <c r="D22" s="21" t="s">
        <v>38</v>
      </c>
      <c r="E22" s="257" t="s">
        <v>90</v>
      </c>
      <c r="F22" s="262" t="s">
        <v>91</v>
      </c>
      <c r="G22" s="263" t="s">
        <v>92</v>
      </c>
      <c r="H22" s="540"/>
      <c r="I22" s="445"/>
      <c r="M22" s="536"/>
      <c r="N22" s="537"/>
      <c r="O22" s="214" t="s">
        <v>105</v>
      </c>
      <c r="P22" s="278" t="s">
        <v>106</v>
      </c>
      <c r="Q22" s="257" t="s">
        <v>90</v>
      </c>
      <c r="R22" s="262" t="s">
        <v>91</v>
      </c>
      <c r="S22" s="263" t="s">
        <v>92</v>
      </c>
      <c r="T22" s="540"/>
      <c r="U22" s="445"/>
    </row>
    <row r="23" spans="1:226" ht="18.75">
      <c r="A23" s="536"/>
      <c r="B23" s="537"/>
      <c r="C23" s="149">
        <f>100/2</f>
        <v>50</v>
      </c>
      <c r="D23" s="112">
        <v>5.6399999999999999E-2</v>
      </c>
      <c r="E23" s="279">
        <v>0</v>
      </c>
      <c r="F23" s="147">
        <v>0</v>
      </c>
      <c r="G23" s="280">
        <v>50000</v>
      </c>
      <c r="H23" s="264">
        <f>I20/G23+B12+B12*F21</f>
        <v>52.506465327688254</v>
      </c>
      <c r="I23" s="266">
        <f>(H23/(1-D23)+C21+E21+E23/G23+C23/G23+C25*D25+D21*G12)*(1+F23)*(1+E25+F25)</f>
        <v>58.230817631444786</v>
      </c>
      <c r="M23" s="536"/>
      <c r="N23" s="537"/>
      <c r="O23" s="366">
        <f>220/4</f>
        <v>55</v>
      </c>
      <c r="P23" s="219">
        <v>5.0999999999999997E-2</v>
      </c>
      <c r="Q23" s="279">
        <v>0</v>
      </c>
      <c r="R23" s="147">
        <v>0</v>
      </c>
      <c r="S23" s="280">
        <v>50000</v>
      </c>
      <c r="T23" s="264">
        <f>U20/S23+N12+N12*R21</f>
        <v>52.845954918405816</v>
      </c>
      <c r="U23" s="266">
        <f>(T23/(1-P23)+O21+Q21+Q23/S23+O23/S23+O25*P25+P21*S12)*(1+R23)*(1+Q25+R25)</f>
        <v>58.277534806951543</v>
      </c>
    </row>
    <row r="24" spans="1:226">
      <c r="A24" s="536"/>
      <c r="B24" s="537"/>
      <c r="C24" s="51" t="s">
        <v>93</v>
      </c>
      <c r="D24" s="51" t="s">
        <v>94</v>
      </c>
      <c r="E24" s="214" t="s">
        <v>101</v>
      </c>
      <c r="F24" s="214" t="s">
        <v>102</v>
      </c>
      <c r="G24" s="214" t="s">
        <v>103</v>
      </c>
      <c r="H24" s="54" t="s">
        <v>95</v>
      </c>
      <c r="I24" s="267" t="s">
        <v>96</v>
      </c>
      <c r="J24" s="26" t="s">
        <v>241</v>
      </c>
      <c r="M24" s="536"/>
      <c r="N24" s="537"/>
      <c r="O24" s="51" t="s">
        <v>93</v>
      </c>
      <c r="P24" s="51" t="s">
        <v>94</v>
      </c>
      <c r="Q24" s="214" t="s">
        <v>101</v>
      </c>
      <c r="R24" s="214" t="s">
        <v>102</v>
      </c>
      <c r="S24" s="214" t="s">
        <v>103</v>
      </c>
      <c r="T24" s="54" t="s">
        <v>95</v>
      </c>
      <c r="U24" s="267" t="s">
        <v>96</v>
      </c>
      <c r="V24" s="26" t="s">
        <v>241</v>
      </c>
    </row>
    <row r="25" spans="1:226" ht="18.75">
      <c r="A25" s="538"/>
      <c r="B25" s="539"/>
      <c r="C25" s="55">
        <v>0</v>
      </c>
      <c r="D25" s="123">
        <v>0</v>
      </c>
      <c r="E25" s="144">
        <f>0.5%+0.5%</f>
        <v>0.01</v>
      </c>
      <c r="F25" s="144">
        <f>0.25%*3+0.25%*6</f>
        <v>2.2499999999999999E-2</v>
      </c>
      <c r="G25" s="231">
        <v>0.15</v>
      </c>
      <c r="H25" s="264">
        <f>(H23+C21+E21+E23/G23+C23/G23+C25*D25+D21*G12)*(1+F23)*(1+E25+F25)</f>
        <v>54.990452015264978</v>
      </c>
      <c r="I25" s="266">
        <f>I23+(I23-H25)*G25</f>
        <v>58.71687247387176</v>
      </c>
      <c r="J25">
        <v>58.719518849557531</v>
      </c>
      <c r="K25" s="274">
        <f>I25/J25-1</f>
        <v>-4.5068075107179695E-5</v>
      </c>
      <c r="M25" s="538"/>
      <c r="N25" s="539"/>
      <c r="O25" s="55">
        <v>0</v>
      </c>
      <c r="P25" s="123">
        <v>0</v>
      </c>
      <c r="Q25" s="144">
        <f>0.5%+0.5%</f>
        <v>0.01</v>
      </c>
      <c r="R25" s="144">
        <f>0.25%*3+0.25%*6</f>
        <v>2.2499999999999999E-2</v>
      </c>
      <c r="S25" s="231">
        <v>0.15</v>
      </c>
      <c r="T25" s="264">
        <f>(T23+O21+Q21+Q23/S23+O23/S23+O25*P25+P21*S12)*(1+R23)*(1+Q25+R25)</f>
        <v>55.345252540232934</v>
      </c>
      <c r="U25" s="266">
        <f>U23+(U23-T25)*S25</f>
        <v>58.717377146959336</v>
      </c>
      <c r="V25">
        <v>58.719518849557531</v>
      </c>
      <c r="W25" s="274">
        <f>U25/V25-1</f>
        <v>-3.6473435752748529E-5</v>
      </c>
    </row>
    <row r="26" spans="1:226" s="202" customFormat="1" ht="49.5">
      <c r="A26" s="203" t="s">
        <v>52</v>
      </c>
      <c r="B26" s="203" t="s">
        <v>107</v>
      </c>
      <c r="C26" s="203"/>
      <c r="D26" s="203" t="s">
        <v>128</v>
      </c>
      <c r="E26" s="204" t="s">
        <v>129</v>
      </c>
      <c r="F26" s="204" t="s">
        <v>130</v>
      </c>
      <c r="G26" s="204" t="s">
        <v>131</v>
      </c>
      <c r="H26" s="204" t="s">
        <v>132</v>
      </c>
      <c r="I26" s="204" t="s">
        <v>133</v>
      </c>
      <c r="J26" s="204" t="s">
        <v>134</v>
      </c>
      <c r="K26" s="293" t="s">
        <v>135</v>
      </c>
      <c r="L26" s="204" t="s">
        <v>2</v>
      </c>
      <c r="M26" s="211" t="s">
        <v>4</v>
      </c>
      <c r="N26" s="211" t="s">
        <v>5</v>
      </c>
    </row>
    <row r="27" spans="1:226" s="205" customFormat="1" ht="90.75" customHeight="1">
      <c r="A27" s="221" t="s">
        <v>360</v>
      </c>
      <c r="B27" s="222" t="s">
        <v>97</v>
      </c>
      <c r="C27" s="294" t="s">
        <v>357</v>
      </c>
      <c r="D27" s="294" t="s">
        <v>358</v>
      </c>
      <c r="E27" s="206">
        <v>503.26</v>
      </c>
      <c r="F27" s="207">
        <v>102</v>
      </c>
      <c r="G27" s="208">
        <f>F27/1.13</f>
        <v>90.26548672566372</v>
      </c>
      <c r="H27" s="209">
        <v>13292.51</v>
      </c>
      <c r="I27" s="295">
        <f>E27*G27+H27</f>
        <v>58719.518849557528</v>
      </c>
      <c r="J27" s="210">
        <f>I27/1000</f>
        <v>58.719518849557531</v>
      </c>
      <c r="K27" s="211" t="s">
        <v>359</v>
      </c>
      <c r="L27" s="211" t="s">
        <v>212</v>
      </c>
      <c r="M27" s="218">
        <v>5.0999999999999997E-2</v>
      </c>
      <c r="N27" s="218">
        <v>0.86316732714035671</v>
      </c>
      <c r="O27" s="296">
        <v>58.717377146959336</v>
      </c>
      <c r="P27" s="296">
        <f>O27-J27</f>
        <v>-2.1417025981946836E-3</v>
      </c>
      <c r="Q27" s="296">
        <f>P27*1000</f>
        <v>-2.1417025981946836</v>
      </c>
      <c r="R27" s="202"/>
      <c r="S27" s="202"/>
      <c r="T27" s="202"/>
      <c r="U27" s="202"/>
      <c r="V27" s="202"/>
      <c r="W27" s="202"/>
      <c r="X27" s="202"/>
      <c r="Y27" s="202"/>
      <c r="Z27" s="202"/>
      <c r="AA27" s="202"/>
      <c r="AB27" s="202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/>
      <c r="AS27" s="202"/>
      <c r="AT27" s="202"/>
      <c r="AU27" s="202"/>
      <c r="AV27" s="202"/>
      <c r="AW27" s="202"/>
      <c r="AX27" s="202"/>
      <c r="AY27" s="202"/>
      <c r="AZ27" s="202"/>
      <c r="BA27" s="202"/>
      <c r="BB27" s="202"/>
      <c r="BC27" s="202"/>
      <c r="BD27" s="202"/>
      <c r="BE27" s="202"/>
      <c r="BF27" s="202"/>
      <c r="BG27" s="202"/>
      <c r="BH27" s="202"/>
      <c r="BI27" s="202"/>
      <c r="BJ27" s="202"/>
      <c r="BK27" s="202"/>
      <c r="BL27" s="202"/>
      <c r="BM27" s="202"/>
      <c r="BN27" s="202"/>
      <c r="BO27" s="202"/>
      <c r="BP27" s="202"/>
      <c r="BQ27" s="202"/>
      <c r="BR27" s="202"/>
      <c r="BS27" s="202"/>
      <c r="BT27" s="202"/>
      <c r="BU27" s="202"/>
      <c r="BV27" s="202"/>
      <c r="BW27" s="202"/>
      <c r="BX27" s="202"/>
      <c r="BY27" s="202"/>
      <c r="BZ27" s="202"/>
      <c r="CA27" s="202"/>
      <c r="CB27" s="202"/>
      <c r="CC27" s="202"/>
      <c r="CD27" s="202"/>
      <c r="CE27" s="202"/>
      <c r="CF27" s="202"/>
      <c r="CG27" s="202"/>
      <c r="CH27" s="202"/>
      <c r="CI27" s="202"/>
      <c r="CJ27" s="202"/>
      <c r="CK27" s="202"/>
      <c r="CL27" s="202"/>
      <c r="CM27" s="202"/>
      <c r="CN27" s="202"/>
      <c r="CO27" s="202"/>
      <c r="CP27" s="202"/>
      <c r="CQ27" s="202"/>
      <c r="CR27" s="202"/>
      <c r="CS27" s="202"/>
      <c r="CT27" s="202"/>
      <c r="CU27" s="202"/>
      <c r="CV27" s="202"/>
      <c r="CW27" s="202"/>
      <c r="CX27" s="202"/>
      <c r="CY27" s="202"/>
      <c r="CZ27" s="202"/>
      <c r="DA27" s="202"/>
      <c r="DB27" s="202"/>
      <c r="DC27" s="202"/>
      <c r="DD27" s="202"/>
      <c r="DE27" s="202"/>
      <c r="DF27" s="202"/>
      <c r="DG27" s="202"/>
      <c r="DH27" s="202"/>
      <c r="DI27" s="202"/>
      <c r="DJ27" s="202"/>
      <c r="DK27" s="202"/>
      <c r="DL27" s="202"/>
      <c r="DM27" s="202"/>
      <c r="DN27" s="202"/>
      <c r="DO27" s="202"/>
      <c r="DP27" s="202"/>
      <c r="DQ27" s="202"/>
      <c r="DR27" s="202"/>
      <c r="DS27" s="202"/>
      <c r="DT27" s="202"/>
      <c r="DU27" s="202"/>
      <c r="DV27" s="202"/>
      <c r="DW27" s="202"/>
      <c r="DX27" s="202"/>
      <c r="DY27" s="202"/>
      <c r="DZ27" s="202"/>
      <c r="EA27" s="202"/>
      <c r="EB27" s="202"/>
      <c r="EC27" s="202"/>
      <c r="ED27" s="202"/>
      <c r="EE27" s="202"/>
      <c r="EF27" s="202"/>
      <c r="EG27" s="202"/>
      <c r="EH27" s="202"/>
      <c r="EI27" s="202"/>
      <c r="EJ27" s="202"/>
      <c r="EK27" s="202"/>
      <c r="EL27" s="202"/>
      <c r="EM27" s="202"/>
      <c r="EN27" s="202"/>
      <c r="EO27" s="202"/>
      <c r="EP27" s="202"/>
      <c r="EQ27" s="202"/>
      <c r="ER27" s="202"/>
      <c r="ES27" s="202"/>
      <c r="ET27" s="202"/>
      <c r="EU27" s="202"/>
      <c r="EV27" s="202"/>
      <c r="EW27" s="202"/>
      <c r="EX27" s="202"/>
      <c r="EY27" s="202"/>
      <c r="EZ27" s="202"/>
      <c r="FA27" s="202"/>
      <c r="FB27" s="202"/>
      <c r="FC27" s="202"/>
      <c r="FD27" s="202"/>
      <c r="FE27" s="202"/>
      <c r="FF27" s="202"/>
      <c r="FG27" s="202"/>
      <c r="FH27" s="202"/>
      <c r="FI27" s="202"/>
      <c r="FJ27" s="202"/>
      <c r="FK27" s="202"/>
      <c r="FL27" s="202"/>
      <c r="FM27" s="202"/>
      <c r="FN27" s="202"/>
      <c r="FO27" s="202"/>
      <c r="FP27" s="202"/>
      <c r="FQ27" s="202"/>
      <c r="FR27" s="202"/>
      <c r="FS27" s="202"/>
      <c r="FT27" s="202"/>
      <c r="FU27" s="202"/>
      <c r="FV27" s="202"/>
      <c r="FW27" s="202"/>
      <c r="FX27" s="202"/>
      <c r="FY27" s="202"/>
      <c r="FZ27" s="202"/>
      <c r="GA27" s="202"/>
      <c r="GB27" s="202"/>
      <c r="GC27" s="202"/>
      <c r="GD27" s="202"/>
      <c r="GE27" s="202"/>
      <c r="GF27" s="202"/>
      <c r="GG27" s="202"/>
      <c r="GH27" s="202"/>
      <c r="GI27" s="202"/>
      <c r="GJ27" s="202"/>
      <c r="GK27" s="202"/>
      <c r="GL27" s="202"/>
      <c r="GM27" s="202"/>
      <c r="GN27" s="202"/>
      <c r="GO27" s="202"/>
      <c r="GP27" s="202"/>
      <c r="GQ27" s="202"/>
      <c r="GR27" s="202"/>
      <c r="GS27" s="202"/>
      <c r="GT27" s="202"/>
      <c r="GU27" s="202"/>
      <c r="GV27" s="202"/>
      <c r="GW27" s="202"/>
      <c r="GX27" s="202"/>
      <c r="GY27" s="202"/>
      <c r="GZ27" s="202"/>
      <c r="HA27" s="202"/>
      <c r="HB27" s="202"/>
      <c r="HC27" s="202"/>
      <c r="HD27" s="202"/>
      <c r="HE27" s="202"/>
      <c r="HF27" s="202"/>
      <c r="HG27" s="202"/>
      <c r="HH27" s="202"/>
      <c r="HI27" s="202"/>
      <c r="HJ27" s="202"/>
      <c r="HK27" s="202"/>
      <c r="HL27" s="202"/>
      <c r="HM27" s="202"/>
      <c r="HN27" s="202"/>
      <c r="HO27" s="202"/>
      <c r="HP27" s="202"/>
      <c r="HQ27" s="202"/>
      <c r="HR27" s="202"/>
    </row>
    <row r="28" spans="1:226" ht="25.5">
      <c r="A28" s="446" t="s">
        <v>46</v>
      </c>
      <c r="B28" s="446"/>
      <c r="C28" s="446"/>
      <c r="D28" s="446"/>
      <c r="E28" s="446"/>
      <c r="F28" s="446"/>
      <c r="G28" s="446"/>
      <c r="H28" s="446"/>
      <c r="I28" s="446"/>
      <c r="J28" s="505" t="s">
        <v>125</v>
      </c>
      <c r="K28" s="505"/>
      <c r="M28" s="508" t="s">
        <v>349</v>
      </c>
      <c r="N28" s="508"/>
      <c r="O28" s="508"/>
      <c r="P28" s="508"/>
      <c r="Q28" s="508"/>
      <c r="R28" s="508"/>
      <c r="S28" s="508"/>
      <c r="T28" s="508"/>
      <c r="U28" s="508"/>
      <c r="V28" s="113"/>
      <c r="W28" s="113"/>
      <c r="X28" s="113"/>
    </row>
    <row r="29" spans="1:226" ht="25.5">
      <c r="A29" s="28"/>
      <c r="B29" s="28"/>
      <c r="C29" s="28"/>
      <c r="D29" s="28"/>
      <c r="E29" s="29"/>
      <c r="F29" s="30"/>
      <c r="G29" s="30"/>
      <c r="H29" s="30" t="s">
        <v>47</v>
      </c>
      <c r="I29" s="58" t="s">
        <v>206</v>
      </c>
      <c r="J29" s="505"/>
      <c r="K29" s="505"/>
      <c r="L29" s="239" t="s">
        <v>224</v>
      </c>
      <c r="M29" s="28"/>
      <c r="N29" s="28"/>
      <c r="O29" s="28"/>
      <c r="P29" s="28"/>
      <c r="Q29" s="29"/>
      <c r="R29" s="30"/>
      <c r="S29" s="30"/>
      <c r="T29" s="30" t="s">
        <v>47</v>
      </c>
      <c r="U29" s="58" t="s">
        <v>206</v>
      </c>
      <c r="V29" s="113"/>
      <c r="W29" s="113"/>
      <c r="X29" s="113"/>
    </row>
    <row r="30" spans="1:226">
      <c r="A30" s="31" t="s">
        <v>48</v>
      </c>
      <c r="B30" s="453" t="s">
        <v>321</v>
      </c>
      <c r="C30" s="453"/>
      <c r="D30" s="453"/>
      <c r="E30" s="453"/>
      <c r="F30" s="453"/>
      <c r="G30" s="31" t="s">
        <v>49</v>
      </c>
      <c r="H30" s="447" t="s">
        <v>322</v>
      </c>
      <c r="I30" s="447"/>
      <c r="M30" s="31" t="s">
        <v>48</v>
      </c>
      <c r="N30" s="453" t="s">
        <v>198</v>
      </c>
      <c r="O30" s="453"/>
      <c r="P30" s="453"/>
      <c r="Q30" s="453"/>
      <c r="R30" s="453"/>
      <c r="S30" s="31" t="s">
        <v>49</v>
      </c>
      <c r="T30" s="447" t="s">
        <v>204</v>
      </c>
      <c r="U30" s="447"/>
      <c r="V30" s="113"/>
      <c r="W30" s="113"/>
      <c r="X30" s="113"/>
    </row>
    <row r="31" spans="1:226" ht="14.25" customHeight="1">
      <c r="A31" s="31" t="s">
        <v>50</v>
      </c>
      <c r="B31" s="448" t="s">
        <v>120</v>
      </c>
      <c r="C31" s="449"/>
      <c r="D31" s="449"/>
      <c r="E31" s="449"/>
      <c r="F31" s="450"/>
      <c r="G31" s="31" t="s">
        <v>51</v>
      </c>
      <c r="H31" s="451" t="s">
        <v>239</v>
      </c>
      <c r="I31" s="451"/>
      <c r="M31" s="31" t="s">
        <v>50</v>
      </c>
      <c r="N31" s="448" t="s">
        <v>120</v>
      </c>
      <c r="O31" s="449"/>
      <c r="P31" s="449"/>
      <c r="Q31" s="449"/>
      <c r="R31" s="450"/>
      <c r="S31" s="31" t="s">
        <v>51</v>
      </c>
      <c r="T31" s="451" t="s">
        <v>220</v>
      </c>
      <c r="U31" s="451"/>
      <c r="V31" s="113"/>
      <c r="W31" s="113"/>
      <c r="X31" s="113"/>
    </row>
    <row r="32" spans="1:226">
      <c r="A32" s="452" t="s">
        <v>52</v>
      </c>
      <c r="B32" s="462" t="s">
        <v>53</v>
      </c>
      <c r="C32" s="453" t="s">
        <v>54</v>
      </c>
      <c r="D32" s="453"/>
      <c r="E32" s="453"/>
      <c r="F32" s="453"/>
      <c r="G32" s="31" t="s">
        <v>55</v>
      </c>
      <c r="H32" s="31" t="s">
        <v>56</v>
      </c>
      <c r="I32" s="31" t="s">
        <v>57</v>
      </c>
      <c r="M32" s="452" t="s">
        <v>52</v>
      </c>
      <c r="N32" s="462" t="s">
        <v>53</v>
      </c>
      <c r="O32" s="453" t="s">
        <v>54</v>
      </c>
      <c r="P32" s="453"/>
      <c r="Q32" s="453"/>
      <c r="R32" s="453"/>
      <c r="S32" s="31" t="s">
        <v>55</v>
      </c>
      <c r="T32" s="31" t="s">
        <v>56</v>
      </c>
      <c r="U32" s="31" t="s">
        <v>57</v>
      </c>
      <c r="V32" s="113"/>
      <c r="W32" s="113"/>
      <c r="X32" s="113"/>
    </row>
    <row r="33" spans="1:24" ht="15.75">
      <c r="A33" s="452"/>
      <c r="B33" s="452"/>
      <c r="C33" s="453"/>
      <c r="D33" s="453"/>
      <c r="E33" s="453"/>
      <c r="F33" s="453"/>
      <c r="G33" s="31" t="s">
        <v>58</v>
      </c>
      <c r="H33" s="32" t="s">
        <v>59</v>
      </c>
      <c r="I33" s="32" t="s">
        <v>60</v>
      </c>
      <c r="M33" s="452"/>
      <c r="N33" s="452"/>
      <c r="O33" s="453"/>
      <c r="P33" s="453"/>
      <c r="Q33" s="453"/>
      <c r="R33" s="453"/>
      <c r="S33" s="31" t="s">
        <v>58</v>
      </c>
      <c r="T33" s="32" t="s">
        <v>59</v>
      </c>
      <c r="U33" s="32" t="s">
        <v>60</v>
      </c>
      <c r="V33" s="113"/>
      <c r="W33" s="361" t="s">
        <v>203</v>
      </c>
      <c r="X33" s="113"/>
    </row>
    <row r="34" spans="1:24" ht="15.75">
      <c r="A34" s="33" t="s">
        <v>61</v>
      </c>
      <c r="B34" s="34" t="s">
        <v>62</v>
      </c>
      <c r="C34" s="433" t="s">
        <v>121</v>
      </c>
      <c r="D34" s="434"/>
      <c r="E34" s="434"/>
      <c r="F34" s="435"/>
      <c r="G34" s="35">
        <f>0.192^2*0.7854*8.89*128*1.015/10</f>
        <v>3.3440374094561278</v>
      </c>
      <c r="H34" s="67">
        <f>(J34+1055)/1000/1.13+1.18</f>
        <v>92.379115044247811</v>
      </c>
      <c r="I34" s="59">
        <f>G34*H34</f>
        <v>308.91921656041603</v>
      </c>
      <c r="J34" s="223" t="s">
        <v>199</v>
      </c>
      <c r="L34" s="240" t="b">
        <f>C34=O34</f>
        <v>1</v>
      </c>
      <c r="M34" s="33" t="s">
        <v>61</v>
      </c>
      <c r="N34" s="34" t="s">
        <v>62</v>
      </c>
      <c r="O34" s="433" t="s">
        <v>121</v>
      </c>
      <c r="P34" s="434"/>
      <c r="Q34" s="434"/>
      <c r="R34" s="435"/>
      <c r="S34" s="200">
        <f>0.192^2*0.7854*8.89*128*1.015/10</f>
        <v>3.3440374094561278</v>
      </c>
      <c r="T34" s="340">
        <f>(V34+1055)/1000/1.13+1.18</f>
        <v>92.379115044247811</v>
      </c>
      <c r="U34" s="59">
        <f>S34*T34</f>
        <v>308.91921656041603</v>
      </c>
      <c r="V34" s="223" t="s">
        <v>199</v>
      </c>
      <c r="W34" s="308">
        <f>(S34+S36*0.45)*10</f>
        <v>38.156442330222447</v>
      </c>
      <c r="X34" s="113"/>
    </row>
    <row r="35" spans="1:24" ht="17.25">
      <c r="A35" s="34">
        <v>2</v>
      </c>
      <c r="B35" s="34" t="s">
        <v>63</v>
      </c>
      <c r="C35" s="433" t="s">
        <v>210</v>
      </c>
      <c r="D35" s="434"/>
      <c r="E35" s="434"/>
      <c r="F35" s="435"/>
      <c r="G35" s="36">
        <f>(3.6^2-2.5^2*0.9)*0.7854*1.35/10</f>
        <v>0.77772271500000012</v>
      </c>
      <c r="H35" s="68">
        <v>13.9003</v>
      </c>
      <c r="I35" s="59">
        <f>G35*H35</f>
        <v>10.810579055314502</v>
      </c>
      <c r="L35" s="240" t="b">
        <f t="shared" ref="L35:L38" si="2">C35=O35</f>
        <v>1</v>
      </c>
      <c r="M35" s="34">
        <v>2</v>
      </c>
      <c r="N35" s="34" t="s">
        <v>63</v>
      </c>
      <c r="O35" s="433" t="s">
        <v>210</v>
      </c>
      <c r="P35" s="434"/>
      <c r="Q35" s="434"/>
      <c r="R35" s="435"/>
      <c r="S35" s="36">
        <f>(3.6^2-2.5^2*0.9)*0.7854*1.35/10</f>
        <v>0.77772271500000012</v>
      </c>
      <c r="T35" s="68">
        <v>13.9003</v>
      </c>
      <c r="U35" s="59">
        <f>S35*T35</f>
        <v>10.810579055314502</v>
      </c>
      <c r="W35" s="113"/>
      <c r="X35" s="113"/>
    </row>
    <row r="36" spans="1:24" ht="15.75">
      <c r="A36" s="34">
        <v>4</v>
      </c>
      <c r="B36" s="34" t="s">
        <v>66</v>
      </c>
      <c r="C36" s="581" t="s">
        <v>345</v>
      </c>
      <c r="D36" s="582"/>
      <c r="E36" s="582"/>
      <c r="F36" s="583"/>
      <c r="G36" s="41">
        <f>0.2^2*0.7854*16*5*4/(COS(ATAN(2*PI()*(3.6+2*0.2)*4/16/25.4)))*1.03/10</f>
        <v>1.0666821002343607</v>
      </c>
      <c r="H36" s="359">
        <f>(J34*45%+J36*55%+31500)/1000/1.13</f>
        <v>81.150442477876112</v>
      </c>
      <c r="I36" s="59">
        <f>G36*H36</f>
        <v>86.56172441724857</v>
      </c>
      <c r="J36" s="223" t="s">
        <v>347</v>
      </c>
      <c r="K36" s="292" t="s">
        <v>346</v>
      </c>
      <c r="L36" s="240" t="b">
        <f t="shared" si="2"/>
        <v>0</v>
      </c>
      <c r="M36" s="34">
        <v>4</v>
      </c>
      <c r="N36" s="34" t="s">
        <v>66</v>
      </c>
      <c r="O36" s="581" t="s">
        <v>208</v>
      </c>
      <c r="P36" s="582"/>
      <c r="Q36" s="582"/>
      <c r="R36" s="583"/>
      <c r="S36" s="199">
        <f>0.2^2*0.7854*16*5*3.93/(COS(ATAN(2*PI()*(3.6+2*0.2)*4/16/25.4)))*1.03/10</f>
        <v>1.0480151634802595</v>
      </c>
      <c r="T36" s="360">
        <f>(V34*45%+V36*55%)/1000/1.13+31500/1000/1.13</f>
        <v>81.150442477876112</v>
      </c>
      <c r="U36" s="59">
        <f>S36*T36</f>
        <v>85.046894239946724</v>
      </c>
      <c r="V36" s="223" t="s">
        <v>347</v>
      </c>
      <c r="W36" s="113" t="s">
        <v>209</v>
      </c>
      <c r="X36" s="113"/>
    </row>
    <row r="37" spans="1:24" ht="15.75">
      <c r="A37" s="34">
        <v>4</v>
      </c>
      <c r="B37" s="34" t="s">
        <v>67</v>
      </c>
      <c r="C37" s="40" t="s">
        <v>184</v>
      </c>
      <c r="D37" s="38"/>
      <c r="E37" s="38"/>
      <c r="F37" s="39"/>
      <c r="G37" s="35">
        <f>3.1416*(4.4+0.02)*0.02*2*1.3/10</f>
        <v>7.2206534399999994E-2</v>
      </c>
      <c r="H37" s="68">
        <v>22.5</v>
      </c>
      <c r="I37" s="59">
        <f>G37*H37</f>
        <v>1.6246470239999999</v>
      </c>
      <c r="L37" s="240" t="b">
        <f t="shared" si="2"/>
        <v>1</v>
      </c>
      <c r="M37" s="34">
        <v>4</v>
      </c>
      <c r="N37" s="34" t="s">
        <v>67</v>
      </c>
      <c r="O37" s="40" t="s">
        <v>184</v>
      </c>
      <c r="P37" s="38"/>
      <c r="Q37" s="38"/>
      <c r="R37" s="39"/>
      <c r="S37" s="35">
        <f>3.1416*(4.4+0.02)*0.02*2*1.3/10</f>
        <v>7.2206534399999994E-2</v>
      </c>
      <c r="T37" s="68">
        <v>22.5</v>
      </c>
      <c r="U37" s="59">
        <f>S37*T37</f>
        <v>1.6246470239999999</v>
      </c>
      <c r="V37" s="113"/>
      <c r="W37" s="113"/>
      <c r="X37" s="113"/>
    </row>
    <row r="38" spans="1:24" ht="17.25">
      <c r="A38" s="34">
        <v>5</v>
      </c>
      <c r="B38" s="34" t="s">
        <v>68</v>
      </c>
      <c r="C38" s="433" t="s">
        <v>219</v>
      </c>
      <c r="D38" s="434"/>
      <c r="E38" s="434"/>
      <c r="F38" s="435"/>
      <c r="G38" s="36">
        <f>(5.6^2-4.44^2*0.9)*0.7854*1.35/10</f>
        <v>1.4438774750399994</v>
      </c>
      <c r="H38" s="68">
        <v>13.9003</v>
      </c>
      <c r="I38" s="59">
        <f>G38*H38</f>
        <v>20.070330066298503</v>
      </c>
      <c r="L38" s="240" t="b">
        <f t="shared" si="2"/>
        <v>1</v>
      </c>
      <c r="M38" s="34">
        <v>5</v>
      </c>
      <c r="N38" s="34" t="s">
        <v>68</v>
      </c>
      <c r="O38" s="433" t="s">
        <v>219</v>
      </c>
      <c r="P38" s="434"/>
      <c r="Q38" s="434"/>
      <c r="R38" s="435"/>
      <c r="S38" s="36">
        <f>(5.6^2-4.44^2*0.9)*0.7854*1.35/10</f>
        <v>1.4438774750399994</v>
      </c>
      <c r="T38" s="68">
        <v>13.9003</v>
      </c>
      <c r="U38" s="59">
        <f>S38*T38</f>
        <v>20.070330066298503</v>
      </c>
      <c r="V38" s="113"/>
      <c r="W38" s="113"/>
      <c r="X38" s="113"/>
    </row>
    <row r="39" spans="1:24" ht="15.75">
      <c r="A39" s="42" t="s">
        <v>69</v>
      </c>
      <c r="B39" s="43">
        <f>I39/100</f>
        <v>4.2798649712327759</v>
      </c>
      <c r="C39" s="436" t="s">
        <v>70</v>
      </c>
      <c r="D39" s="436"/>
      <c r="E39" s="436"/>
      <c r="F39" s="436"/>
      <c r="G39" s="43">
        <f>SUM(G34:G38)/100</f>
        <v>6.7045262341304881E-2</v>
      </c>
      <c r="H39" s="44" t="s">
        <v>71</v>
      </c>
      <c r="I39" s="60">
        <f>SUM(I34:I38)</f>
        <v>427.98649712327762</v>
      </c>
      <c r="J39" s="370">
        <f>B39/I51</f>
        <v>0.81083935393312545</v>
      </c>
      <c r="M39" s="42" t="s">
        <v>69</v>
      </c>
      <c r="N39" s="43">
        <f>U39/100</f>
        <v>4.2647166694597578</v>
      </c>
      <c r="O39" s="436" t="s">
        <v>70</v>
      </c>
      <c r="P39" s="436"/>
      <c r="Q39" s="436"/>
      <c r="R39" s="436"/>
      <c r="S39" s="43">
        <f>SUM(S34:S38)/100</f>
        <v>6.685859297376387E-2</v>
      </c>
      <c r="T39" s="44" t="s">
        <v>71</v>
      </c>
      <c r="U39" s="60">
        <f>SUM(U34:U38)</f>
        <v>426.47166694597576</v>
      </c>
      <c r="V39" s="237">
        <f>N39/U51</f>
        <v>0.80263615620773998</v>
      </c>
      <c r="W39" s="113"/>
      <c r="X39" s="113"/>
    </row>
    <row r="40" spans="1:24" ht="36">
      <c r="A40" s="45" t="s">
        <v>53</v>
      </c>
      <c r="B40" s="46" t="s">
        <v>72</v>
      </c>
      <c r="C40" s="46" t="s">
        <v>73</v>
      </c>
      <c r="D40" s="45" t="s">
        <v>74</v>
      </c>
      <c r="E40" s="45" t="s">
        <v>75</v>
      </c>
      <c r="F40" s="46" t="s">
        <v>76</v>
      </c>
      <c r="G40" s="46" t="s">
        <v>77</v>
      </c>
      <c r="H40" s="47" t="s">
        <v>78</v>
      </c>
      <c r="I40" s="45" t="s">
        <v>79</v>
      </c>
      <c r="M40" s="45" t="s">
        <v>53</v>
      </c>
      <c r="N40" s="46" t="s">
        <v>72</v>
      </c>
      <c r="O40" s="46" t="s">
        <v>73</v>
      </c>
      <c r="P40" s="45" t="s">
        <v>74</v>
      </c>
      <c r="Q40" s="45" t="s">
        <v>75</v>
      </c>
      <c r="R40" s="46" t="s">
        <v>76</v>
      </c>
      <c r="S40" s="46" t="s">
        <v>77</v>
      </c>
      <c r="T40" s="47" t="s">
        <v>78</v>
      </c>
      <c r="U40" s="45" t="s">
        <v>79</v>
      </c>
      <c r="V40" s="113"/>
      <c r="W40" s="113"/>
      <c r="X40" s="113"/>
    </row>
    <row r="41" spans="1:24" ht="15.75">
      <c r="A41" s="34" t="s">
        <v>62</v>
      </c>
      <c r="B41" s="195">
        <f>1000/60/80</f>
        <v>0.20833333333333334</v>
      </c>
      <c r="C41" s="48">
        <v>0</v>
      </c>
      <c r="D41" s="13">
        <v>15</v>
      </c>
      <c r="E41" s="14">
        <f>B41*D41*G49/1000+C41*D41*G47</f>
        <v>156.25</v>
      </c>
      <c r="F41" s="49">
        <v>0.05</v>
      </c>
      <c r="G41" s="50">
        <v>0</v>
      </c>
      <c r="H41" s="15">
        <f>F41*I34</f>
        <v>15.445960828020802</v>
      </c>
      <c r="I41" s="13">
        <f>E41+H41*G47</f>
        <v>171.69596082802082</v>
      </c>
      <c r="M41" s="34" t="s">
        <v>62</v>
      </c>
      <c r="N41" s="195">
        <f>1000/45000*12</f>
        <v>0.26666666666666666</v>
      </c>
      <c r="O41" s="48">
        <v>0</v>
      </c>
      <c r="P41" s="13">
        <v>15</v>
      </c>
      <c r="Q41" s="14">
        <f>N41*P41*S49/1000+O41*P41*S47</f>
        <v>80</v>
      </c>
      <c r="R41" s="49">
        <v>0.05</v>
      </c>
      <c r="S41" s="50">
        <v>0</v>
      </c>
      <c r="T41" s="15">
        <f>R41*U34</f>
        <v>15.445960828020802</v>
      </c>
      <c r="U41" s="13">
        <f>Q41+T41*S47</f>
        <v>95.445960828020802</v>
      </c>
      <c r="V41" s="113"/>
      <c r="W41" s="113"/>
      <c r="X41" s="113"/>
    </row>
    <row r="42" spans="1:24" ht="15.75">
      <c r="A42" s="34" t="s">
        <v>63</v>
      </c>
      <c r="B42" s="195">
        <f>1000/60/120</f>
        <v>0.1388888888888889</v>
      </c>
      <c r="C42" s="48">
        <v>0</v>
      </c>
      <c r="D42" s="13">
        <v>120</v>
      </c>
      <c r="E42" s="14">
        <f>B42*D42*G49/1000+C42*D42*G47</f>
        <v>833.33333333333337</v>
      </c>
      <c r="F42" s="49">
        <v>0.5</v>
      </c>
      <c r="G42" s="50">
        <v>2</v>
      </c>
      <c r="H42" s="15">
        <f>F42*(I34+I35)+G42*H35</f>
        <v>187.66549780786528</v>
      </c>
      <c r="I42" s="13">
        <f>E42+H42*G47</f>
        <v>1020.9988311411987</v>
      </c>
      <c r="M42" s="34" t="s">
        <v>63</v>
      </c>
      <c r="N42" s="195">
        <f>1000/60/120</f>
        <v>0.1388888888888889</v>
      </c>
      <c r="O42" s="48">
        <v>0</v>
      </c>
      <c r="P42" s="13">
        <v>120</v>
      </c>
      <c r="Q42" s="14">
        <f>N42*P42*S49/1000+O42*P42*S47</f>
        <v>333.33333333333337</v>
      </c>
      <c r="R42" s="49">
        <v>0.5</v>
      </c>
      <c r="S42" s="50">
        <v>2</v>
      </c>
      <c r="T42" s="15">
        <f>R42*(U34+U35)+S42*T35</f>
        <v>187.66549780786528</v>
      </c>
      <c r="U42" s="13">
        <f>Q42+T42*S47</f>
        <v>520.99883114119871</v>
      </c>
      <c r="V42" s="113"/>
      <c r="W42" s="113"/>
      <c r="X42" s="113"/>
    </row>
    <row r="43" spans="1:24" ht="15.75">
      <c r="A43" s="34" t="s">
        <v>66</v>
      </c>
      <c r="B43" s="195">
        <v>5</v>
      </c>
      <c r="C43" s="48">
        <v>0</v>
      </c>
      <c r="D43" s="13">
        <v>15</v>
      </c>
      <c r="E43" s="14">
        <f>B43*D43*G49/1000+C43*D43*G47</f>
        <v>3750</v>
      </c>
      <c r="F43" s="49">
        <v>0.02</v>
      </c>
      <c r="G43" s="50">
        <v>0</v>
      </c>
      <c r="H43" s="15">
        <f>F43*(I39-I38-I37)</f>
        <v>8.1258304006595825</v>
      </c>
      <c r="I43" s="13">
        <f>E43+H43*G47</f>
        <v>3758.1258304006597</v>
      </c>
      <c r="M43" s="34" t="s">
        <v>66</v>
      </c>
      <c r="N43" s="195">
        <v>5</v>
      </c>
      <c r="O43" s="48">
        <v>0</v>
      </c>
      <c r="P43" s="13">
        <v>15</v>
      </c>
      <c r="Q43" s="14">
        <f>N43*P43*S49/1000+O43*P43*S47</f>
        <v>1500</v>
      </c>
      <c r="R43" s="49">
        <v>0.02</v>
      </c>
      <c r="S43" s="50">
        <v>0</v>
      </c>
      <c r="T43" s="15">
        <f>R43*(U39-U38-U37)</f>
        <v>8.0955337971135446</v>
      </c>
      <c r="U43" s="13">
        <f>Q43+T43*S47</f>
        <v>1508.0955337971136</v>
      </c>
      <c r="V43" s="113"/>
      <c r="W43" s="113"/>
      <c r="X43" s="113"/>
    </row>
    <row r="44" spans="1:24" ht="15.75">
      <c r="A44" s="34" t="s">
        <v>65</v>
      </c>
      <c r="B44" s="195">
        <f>1000/60/20</f>
        <v>0.83333333333333337</v>
      </c>
      <c r="C44" s="48">
        <v>0</v>
      </c>
      <c r="D44" s="13">
        <v>15</v>
      </c>
      <c r="E44" s="14">
        <f>B44*D44*G49/1000+C44*D44*G47</f>
        <v>625</v>
      </c>
      <c r="F44" s="49">
        <v>0.02</v>
      </c>
      <c r="G44" s="50">
        <v>0</v>
      </c>
      <c r="H44" s="15">
        <f>F44*(I39-I38)</f>
        <v>8.1583233411395835</v>
      </c>
      <c r="I44" s="13">
        <f>E44+H44*G47</f>
        <v>633.15832334113963</v>
      </c>
      <c r="M44" s="34" t="s">
        <v>65</v>
      </c>
      <c r="N44" s="195">
        <f>1000/60/20</f>
        <v>0.83333333333333337</v>
      </c>
      <c r="O44" s="48">
        <v>0</v>
      </c>
      <c r="P44" s="13">
        <v>15</v>
      </c>
      <c r="Q44" s="14">
        <f>N44*P44*S49/1000+O44*P44*S47</f>
        <v>250</v>
      </c>
      <c r="R44" s="49">
        <v>0.02</v>
      </c>
      <c r="S44" s="50">
        <v>0</v>
      </c>
      <c r="T44" s="15">
        <f>R44*(U39-U38)</f>
        <v>8.1280267375935455</v>
      </c>
      <c r="U44" s="13">
        <f>Q44+T44*S47</f>
        <v>258.12802673759353</v>
      </c>
      <c r="V44" s="113"/>
      <c r="W44" s="113"/>
      <c r="X44" s="113"/>
    </row>
    <row r="45" spans="1:24" ht="15.75">
      <c r="A45" s="34" t="s">
        <v>68</v>
      </c>
      <c r="B45" s="195">
        <f>1000/60/60</f>
        <v>0.27777777777777779</v>
      </c>
      <c r="C45" s="48">
        <v>0</v>
      </c>
      <c r="D45" s="13">
        <v>130</v>
      </c>
      <c r="E45" s="14">
        <f>B45*D45*G49/1000+C45*D45*G47</f>
        <v>1805.5555555555557</v>
      </c>
      <c r="F45" s="49">
        <v>0.5</v>
      </c>
      <c r="G45" s="50">
        <v>2</v>
      </c>
      <c r="H45" s="15">
        <f>F45*I39+G45*H38</f>
        <v>241.79384856163881</v>
      </c>
      <c r="I45" s="13">
        <f>E45+H45*G47</f>
        <v>2047.3494041171944</v>
      </c>
      <c r="M45" s="34" t="s">
        <v>68</v>
      </c>
      <c r="N45" s="195">
        <f>1000/60/60</f>
        <v>0.27777777777777779</v>
      </c>
      <c r="O45" s="48">
        <v>0</v>
      </c>
      <c r="P45" s="13">
        <v>130</v>
      </c>
      <c r="Q45" s="14">
        <f>N45*P45*S49/1000+O45*P45*S47</f>
        <v>722.22222222222229</v>
      </c>
      <c r="R45" s="49">
        <v>0.5</v>
      </c>
      <c r="S45" s="50">
        <v>5</v>
      </c>
      <c r="T45" s="15">
        <f>R45*U39+S45*T38</f>
        <v>282.73733347298787</v>
      </c>
      <c r="U45" s="13">
        <f>Q45+T45*S47</f>
        <v>1004.9595556952102</v>
      </c>
      <c r="V45" s="113"/>
      <c r="W45" s="113"/>
      <c r="X45" s="113"/>
    </row>
    <row r="46" spans="1:24" ht="24">
      <c r="A46" s="437" t="s">
        <v>81</v>
      </c>
      <c r="B46" s="438"/>
      <c r="C46" s="16" t="s">
        <v>82</v>
      </c>
      <c r="D46" s="16" t="s">
        <v>83</v>
      </c>
      <c r="E46" s="16" t="s">
        <v>84</v>
      </c>
      <c r="F46" s="51" t="s">
        <v>85</v>
      </c>
      <c r="G46" s="52" t="s">
        <v>86</v>
      </c>
      <c r="H46" s="19" t="s">
        <v>87</v>
      </c>
      <c r="I46" s="61">
        <f>SUM(I41:I45)</f>
        <v>7631.3283498282126</v>
      </c>
      <c r="M46" s="437" t="s">
        <v>81</v>
      </c>
      <c r="N46" s="438"/>
      <c r="O46" s="16" t="s">
        <v>82</v>
      </c>
      <c r="P46" s="16" t="s">
        <v>83</v>
      </c>
      <c r="Q46" s="16" t="s">
        <v>84</v>
      </c>
      <c r="R46" s="51" t="s">
        <v>85</v>
      </c>
      <c r="S46" s="52" t="s">
        <v>86</v>
      </c>
      <c r="T46" s="19" t="s">
        <v>87</v>
      </c>
      <c r="U46" s="61">
        <f>SUM(U41:U45)</f>
        <v>3387.627908199137</v>
      </c>
      <c r="V46" s="113"/>
      <c r="W46" s="113"/>
      <c r="X46" s="113"/>
    </row>
    <row r="47" spans="1:24" ht="15" customHeight="1">
      <c r="A47" s="439"/>
      <c r="B47" s="440"/>
      <c r="C47" s="261">
        <v>0</v>
      </c>
      <c r="D47" s="277">
        <v>0.79800000000000004</v>
      </c>
      <c r="E47" s="20">
        <v>3.3000000000000002E-2</v>
      </c>
      <c r="F47" s="128">
        <v>0.02</v>
      </c>
      <c r="G47" s="53">
        <v>1</v>
      </c>
      <c r="H47" s="443" t="s">
        <v>88</v>
      </c>
      <c r="I47" s="444" t="s">
        <v>89</v>
      </c>
      <c r="M47" s="439"/>
      <c r="N47" s="440"/>
      <c r="O47" s="57">
        <v>0</v>
      </c>
      <c r="P47" s="57">
        <v>0.8</v>
      </c>
      <c r="Q47" s="20">
        <f>140/4000</f>
        <v>3.5000000000000003E-2</v>
      </c>
      <c r="R47" s="128">
        <v>0.02</v>
      </c>
      <c r="S47" s="53">
        <v>1</v>
      </c>
      <c r="T47" s="443" t="s">
        <v>88</v>
      </c>
      <c r="U47" s="444" t="s">
        <v>89</v>
      </c>
      <c r="V47" s="113"/>
      <c r="W47" s="113"/>
      <c r="X47" s="113"/>
    </row>
    <row r="48" spans="1:24" ht="24">
      <c r="A48" s="439"/>
      <c r="B48" s="440"/>
      <c r="C48" s="214" t="s">
        <v>105</v>
      </c>
      <c r="D48" s="278" t="s">
        <v>106</v>
      </c>
      <c r="E48" s="16" t="s">
        <v>90</v>
      </c>
      <c r="F48" s="19" t="s">
        <v>91</v>
      </c>
      <c r="G48" s="22" t="s">
        <v>92</v>
      </c>
      <c r="H48" s="443"/>
      <c r="I48" s="445"/>
      <c r="M48" s="439"/>
      <c r="N48" s="440"/>
      <c r="O48" s="81" t="s">
        <v>98</v>
      </c>
      <c r="P48" s="21" t="s">
        <v>106</v>
      </c>
      <c r="Q48" s="16" t="s">
        <v>90</v>
      </c>
      <c r="R48" s="19" t="s">
        <v>91</v>
      </c>
      <c r="S48" s="22" t="s">
        <v>92</v>
      </c>
      <c r="T48" s="443"/>
      <c r="U48" s="445"/>
      <c r="V48" s="113"/>
      <c r="W48" s="113"/>
      <c r="X48" s="113"/>
    </row>
    <row r="49" spans="1:229" ht="18.75">
      <c r="A49" s="439"/>
      <c r="B49" s="440"/>
      <c r="C49" s="366">
        <f>220/2</f>
        <v>110</v>
      </c>
      <c r="D49" s="219">
        <v>8.0600000000000005E-2</v>
      </c>
      <c r="E49" s="279">
        <v>0</v>
      </c>
      <c r="F49" s="159">
        <v>0</v>
      </c>
      <c r="G49" s="280">
        <v>50000</v>
      </c>
      <c r="H49" s="23">
        <f>I46/G49+B39+B39*F47</f>
        <v>4.5180888376539956</v>
      </c>
      <c r="I49" s="62">
        <f>(H49/(1-D49)+C47+E47+E49/G49+C49/G49+C51*D51+D47*G39)*(1+F49)*(1+E51+F51)</f>
        <v>5.21685226475548</v>
      </c>
      <c r="M49" s="439"/>
      <c r="N49" s="440"/>
      <c r="O49" s="149">
        <f>220/2</f>
        <v>110</v>
      </c>
      <c r="P49" s="219">
        <v>8.5000000000000006E-2</v>
      </c>
      <c r="Q49" s="87">
        <v>0</v>
      </c>
      <c r="R49" s="159">
        <v>0</v>
      </c>
      <c r="S49" s="280">
        <v>20000</v>
      </c>
      <c r="T49" s="23">
        <f>U46/S49+N39+N39*R47</f>
        <v>4.5193923982589101</v>
      </c>
      <c r="U49" s="62">
        <f>(T49/(1-P49)+O47+Q47+Q49/S49+O49/S49+O51*P51+P47*S39)*(1+R49)*(1+Q51+R51)</f>
        <v>5.2482394062432745</v>
      </c>
      <c r="V49" s="113"/>
      <c r="W49" s="113"/>
      <c r="X49" s="113"/>
    </row>
    <row r="50" spans="1:229">
      <c r="A50" s="439"/>
      <c r="B50" s="440"/>
      <c r="C50" s="51" t="s">
        <v>93</v>
      </c>
      <c r="D50" s="51" t="s">
        <v>94</v>
      </c>
      <c r="E50" s="158" t="s">
        <v>101</v>
      </c>
      <c r="F50" s="158" t="s">
        <v>102</v>
      </c>
      <c r="G50" s="158" t="s">
        <v>103</v>
      </c>
      <c r="H50" s="54" t="s">
        <v>95</v>
      </c>
      <c r="I50" s="63" t="s">
        <v>96</v>
      </c>
      <c r="M50" s="439"/>
      <c r="N50" s="440"/>
      <c r="O50" s="51" t="s">
        <v>93</v>
      </c>
      <c r="P50" s="51" t="s">
        <v>94</v>
      </c>
      <c r="Q50" s="158" t="s">
        <v>101</v>
      </c>
      <c r="R50" s="158" t="s">
        <v>102</v>
      </c>
      <c r="S50" s="158" t="s">
        <v>103</v>
      </c>
      <c r="T50" s="54" t="s">
        <v>95</v>
      </c>
      <c r="U50" s="63" t="s">
        <v>96</v>
      </c>
      <c r="V50" s="113"/>
      <c r="W50" s="113"/>
      <c r="X50" s="113"/>
    </row>
    <row r="51" spans="1:229" ht="18.75">
      <c r="A51" s="441"/>
      <c r="B51" s="442"/>
      <c r="C51" s="55">
        <v>2</v>
      </c>
      <c r="D51" s="123">
        <v>0.02</v>
      </c>
      <c r="E51" s="156">
        <f>0.7%+0.5%</f>
        <v>1.2E-2</v>
      </c>
      <c r="F51" s="156">
        <f>0.25%*3+0.25%*6</f>
        <v>2.2499999999999999E-2</v>
      </c>
      <c r="G51" s="155">
        <v>0.15</v>
      </c>
      <c r="H51" s="23">
        <f>(H49+C47+E47+E49/G49+C49/G49+C51*D51+D47*G39)*(1+F49)*(1+E51+F51)</f>
        <v>4.8071052450189384</v>
      </c>
      <c r="I51" s="62">
        <f>I49+(I49-H51)*G51</f>
        <v>5.278314317715961</v>
      </c>
      <c r="J51">
        <v>5.2785153123073449</v>
      </c>
      <c r="K51" s="274">
        <f>I51/J51-1</f>
        <v>-3.8077864606189671E-5</v>
      </c>
      <c r="M51" s="441"/>
      <c r="N51" s="442"/>
      <c r="O51" s="55">
        <v>2</v>
      </c>
      <c r="P51" s="123">
        <v>0.02</v>
      </c>
      <c r="Q51" s="156">
        <f>0.7%+0.5%</f>
        <v>1.2E-2</v>
      </c>
      <c r="R51" s="156">
        <f>0.25%*3+0.25%*6</f>
        <v>2.2499999999999999E-2</v>
      </c>
      <c r="S51" s="155">
        <v>0.15</v>
      </c>
      <c r="T51" s="23">
        <f>(T49+O47+Q47+Q49/S49+O49/S49+O51*P51+P47*S39)*(1+R49)*(1+Q51+R51)</f>
        <v>4.8139208575439296</v>
      </c>
      <c r="U51" s="62">
        <f>U49+(U49-T51)*S51</f>
        <v>5.3133871885481758</v>
      </c>
      <c r="V51" s="113" t="s">
        <v>221</v>
      </c>
      <c r="W51" s="365" t="e">
        <f>U51/AG51-1</f>
        <v>#DIV/0!</v>
      </c>
      <c r="X51" s="113"/>
    </row>
    <row r="52" spans="1:229" s="202" customFormat="1" ht="66">
      <c r="A52" s="203" t="s">
        <v>52</v>
      </c>
      <c r="B52" s="203" t="s">
        <v>107</v>
      </c>
      <c r="C52" s="203"/>
      <c r="D52" s="203" t="s">
        <v>128</v>
      </c>
      <c r="E52" s="204" t="s">
        <v>129</v>
      </c>
      <c r="F52" s="204" t="s">
        <v>130</v>
      </c>
      <c r="G52" s="204" t="s">
        <v>131</v>
      </c>
      <c r="H52" s="204" t="s">
        <v>261</v>
      </c>
      <c r="I52" s="204" t="s">
        <v>262</v>
      </c>
      <c r="J52" s="204" t="s">
        <v>263</v>
      </c>
      <c r="K52" s="204" t="s">
        <v>132</v>
      </c>
      <c r="L52" s="204" t="s">
        <v>133</v>
      </c>
      <c r="M52" s="204" t="s">
        <v>134</v>
      </c>
      <c r="N52" s="293" t="s">
        <v>135</v>
      </c>
      <c r="O52" s="204" t="s">
        <v>2</v>
      </c>
      <c r="P52" s="211" t="s">
        <v>4</v>
      </c>
      <c r="Q52" s="211" t="s">
        <v>5</v>
      </c>
    </row>
    <row r="53" spans="1:229" s="205" customFormat="1" ht="134.25" customHeight="1">
      <c r="A53" s="221" t="s">
        <v>264</v>
      </c>
      <c r="B53" s="222"/>
      <c r="C53" s="294" t="s">
        <v>350</v>
      </c>
      <c r="D53" s="297" t="s">
        <v>231</v>
      </c>
      <c r="E53" s="206">
        <v>38.24</v>
      </c>
      <c r="F53" s="207">
        <v>102</v>
      </c>
      <c r="G53" s="208">
        <f t="shared" ref="G53" si="3">F53/1.13</f>
        <v>90.26548672566372</v>
      </c>
      <c r="H53" s="217">
        <v>5.87</v>
      </c>
      <c r="I53" s="207">
        <v>26</v>
      </c>
      <c r="J53" s="208">
        <f t="shared" ref="J53" si="4">I53/1.13</f>
        <v>23.008849557522126</v>
      </c>
      <c r="K53" s="209">
        <v>1691.7011530153095</v>
      </c>
      <c r="L53" s="295">
        <f t="shared" ref="L53" si="5">E53*G53+H53*J53+K53</f>
        <v>5278.5153123073451</v>
      </c>
      <c r="M53" s="210">
        <f t="shared" ref="M53" si="6">L53/1000</f>
        <v>5.2785153123073449</v>
      </c>
      <c r="N53" s="211" t="s">
        <v>187</v>
      </c>
      <c r="O53" s="211" t="s">
        <v>348</v>
      </c>
      <c r="P53" s="218">
        <v>0.08</v>
      </c>
      <c r="Q53" s="218">
        <v>0.81080847890198904</v>
      </c>
      <c r="R53" s="296">
        <v>5.2785153123073449</v>
      </c>
      <c r="S53" s="296">
        <f t="shared" ref="S53" si="7">R53-M53</f>
        <v>0</v>
      </c>
      <c r="T53" s="296">
        <f t="shared" ref="T53" si="8">S53*1000</f>
        <v>0</v>
      </c>
      <c r="U53" s="202"/>
      <c r="V53" s="202"/>
      <c r="W53" s="202"/>
      <c r="X53" s="202"/>
      <c r="Y53" s="202"/>
      <c r="Z53" s="202"/>
      <c r="AA53" s="202"/>
      <c r="AB53" s="202"/>
      <c r="AC53" s="202"/>
      <c r="AD53" s="202"/>
      <c r="AE53" s="202"/>
      <c r="AF53" s="202"/>
      <c r="AG53" s="202"/>
      <c r="AH53" s="202"/>
      <c r="AI53" s="202"/>
      <c r="AJ53" s="202"/>
      <c r="AK53" s="202"/>
      <c r="AL53" s="202"/>
      <c r="AM53" s="202"/>
      <c r="AN53" s="202"/>
      <c r="AO53" s="202"/>
      <c r="AP53" s="202"/>
      <c r="AQ53" s="202"/>
      <c r="AR53" s="202"/>
      <c r="AS53" s="202"/>
      <c r="AT53" s="202"/>
      <c r="AU53" s="202"/>
      <c r="AV53" s="202"/>
      <c r="AW53" s="202"/>
      <c r="AX53" s="202"/>
      <c r="AY53" s="202"/>
      <c r="AZ53" s="202"/>
      <c r="BA53" s="202"/>
      <c r="BB53" s="202"/>
      <c r="BC53" s="202"/>
      <c r="BD53" s="202"/>
      <c r="BE53" s="202"/>
      <c r="BF53" s="202"/>
      <c r="BG53" s="202"/>
      <c r="BH53" s="202"/>
      <c r="BI53" s="202"/>
      <c r="BJ53" s="202"/>
      <c r="BK53" s="202"/>
      <c r="BL53" s="202"/>
      <c r="BM53" s="202"/>
      <c r="BN53" s="202"/>
      <c r="BO53" s="202"/>
      <c r="BP53" s="202"/>
      <c r="BQ53" s="202"/>
      <c r="BR53" s="202"/>
      <c r="BS53" s="202"/>
      <c r="BT53" s="202"/>
      <c r="BU53" s="202"/>
      <c r="BV53" s="202"/>
      <c r="BW53" s="202"/>
      <c r="BX53" s="202"/>
      <c r="BY53" s="202"/>
      <c r="BZ53" s="202"/>
      <c r="CA53" s="202"/>
      <c r="CB53" s="202"/>
      <c r="CC53" s="202"/>
      <c r="CD53" s="202"/>
      <c r="CE53" s="202"/>
      <c r="CF53" s="202"/>
      <c r="CG53" s="202"/>
      <c r="CH53" s="202"/>
      <c r="CI53" s="202"/>
      <c r="CJ53" s="202"/>
      <c r="CK53" s="202"/>
      <c r="CL53" s="202"/>
      <c r="CM53" s="202"/>
      <c r="CN53" s="202"/>
      <c r="CO53" s="202"/>
      <c r="CP53" s="202"/>
      <c r="CQ53" s="202"/>
      <c r="CR53" s="202"/>
      <c r="CS53" s="202"/>
      <c r="CT53" s="202"/>
      <c r="CU53" s="202"/>
      <c r="CV53" s="202"/>
      <c r="CW53" s="202"/>
      <c r="CX53" s="202"/>
      <c r="CY53" s="202"/>
      <c r="CZ53" s="202"/>
      <c r="DA53" s="202"/>
      <c r="DB53" s="202"/>
      <c r="DC53" s="202"/>
      <c r="DD53" s="202"/>
      <c r="DE53" s="202"/>
      <c r="DF53" s="202"/>
      <c r="DG53" s="202"/>
      <c r="DH53" s="202"/>
      <c r="DI53" s="202"/>
      <c r="DJ53" s="202"/>
      <c r="DK53" s="202"/>
      <c r="DL53" s="202"/>
      <c r="DM53" s="202"/>
      <c r="DN53" s="202"/>
      <c r="DO53" s="202"/>
      <c r="DP53" s="202"/>
      <c r="DQ53" s="202"/>
      <c r="DR53" s="202"/>
      <c r="DS53" s="202"/>
      <c r="DT53" s="202"/>
      <c r="DU53" s="202"/>
      <c r="DV53" s="202"/>
      <c r="DW53" s="202"/>
      <c r="DX53" s="202"/>
      <c r="DY53" s="202"/>
      <c r="DZ53" s="202"/>
      <c r="EA53" s="202"/>
      <c r="EB53" s="202"/>
      <c r="EC53" s="202"/>
      <c r="ED53" s="202"/>
      <c r="EE53" s="202"/>
      <c r="EF53" s="202"/>
      <c r="EG53" s="202"/>
      <c r="EH53" s="202"/>
      <c r="EI53" s="202"/>
      <c r="EJ53" s="202"/>
      <c r="EK53" s="202"/>
      <c r="EL53" s="202"/>
      <c r="EM53" s="202"/>
      <c r="EN53" s="202"/>
      <c r="EO53" s="202"/>
      <c r="EP53" s="202"/>
      <c r="EQ53" s="202"/>
      <c r="ER53" s="202"/>
      <c r="ES53" s="202"/>
      <c r="ET53" s="202"/>
      <c r="EU53" s="202"/>
      <c r="EV53" s="202"/>
      <c r="EW53" s="202"/>
      <c r="EX53" s="202"/>
      <c r="EY53" s="202"/>
      <c r="EZ53" s="202"/>
      <c r="FA53" s="202"/>
      <c r="FB53" s="202"/>
      <c r="FC53" s="202"/>
      <c r="FD53" s="202"/>
      <c r="FE53" s="202"/>
      <c r="FF53" s="202"/>
      <c r="FG53" s="202"/>
      <c r="FH53" s="202"/>
      <c r="FI53" s="202"/>
      <c r="FJ53" s="202"/>
      <c r="FK53" s="202"/>
      <c r="FL53" s="202"/>
      <c r="FM53" s="202"/>
      <c r="FN53" s="202"/>
      <c r="FO53" s="202"/>
      <c r="FP53" s="202"/>
      <c r="FQ53" s="202"/>
      <c r="FR53" s="202"/>
      <c r="FS53" s="202"/>
      <c r="FT53" s="202"/>
      <c r="FU53" s="202"/>
      <c r="FV53" s="202"/>
      <c r="FW53" s="202"/>
      <c r="FX53" s="202"/>
      <c r="FY53" s="202"/>
      <c r="FZ53" s="202"/>
      <c r="GA53" s="202"/>
      <c r="GB53" s="202"/>
      <c r="GC53" s="202"/>
      <c r="GD53" s="202"/>
      <c r="GE53" s="202"/>
      <c r="GF53" s="202"/>
      <c r="GG53" s="202"/>
      <c r="GH53" s="202"/>
      <c r="GI53" s="202"/>
      <c r="GJ53" s="202"/>
      <c r="GK53" s="202"/>
      <c r="GL53" s="202"/>
      <c r="GM53" s="202"/>
      <c r="GN53" s="202"/>
      <c r="GO53" s="202"/>
      <c r="GP53" s="202"/>
      <c r="GQ53" s="202"/>
      <c r="GR53" s="202"/>
      <c r="GS53" s="202"/>
      <c r="GT53" s="202"/>
      <c r="GU53" s="202"/>
      <c r="GV53" s="202"/>
      <c r="GW53" s="202"/>
      <c r="GX53" s="202"/>
      <c r="GY53" s="202"/>
      <c r="GZ53" s="202"/>
      <c r="HA53" s="202"/>
      <c r="HB53" s="202"/>
      <c r="HC53" s="202"/>
      <c r="HD53" s="202"/>
      <c r="HE53" s="202"/>
      <c r="HF53" s="202"/>
      <c r="HG53" s="202"/>
      <c r="HH53" s="202"/>
      <c r="HI53" s="202"/>
      <c r="HJ53" s="202"/>
      <c r="HK53" s="202"/>
      <c r="HL53" s="202"/>
      <c r="HM53" s="202"/>
      <c r="HN53" s="202"/>
      <c r="HO53" s="202"/>
      <c r="HP53" s="202"/>
      <c r="HQ53" s="202"/>
      <c r="HR53" s="202"/>
      <c r="HS53" s="202"/>
      <c r="HT53" s="202"/>
      <c r="HU53" s="202"/>
    </row>
    <row r="54" spans="1:229" ht="25.5">
      <c r="A54" s="446" t="s">
        <v>46</v>
      </c>
      <c r="B54" s="446"/>
      <c r="C54" s="446"/>
      <c r="D54" s="446"/>
      <c r="E54" s="446"/>
      <c r="F54" s="446"/>
      <c r="G54" s="446"/>
      <c r="H54" s="446"/>
      <c r="I54" s="446"/>
    </row>
    <row r="55" spans="1:229" ht="25.5">
      <c r="A55" s="28"/>
      <c r="B55" s="28"/>
      <c r="C55" s="28"/>
      <c r="D55" s="28"/>
      <c r="E55" s="29"/>
      <c r="F55" s="30"/>
      <c r="G55" s="30"/>
      <c r="H55" s="30" t="s">
        <v>47</v>
      </c>
      <c r="I55" s="58" t="s">
        <v>324</v>
      </c>
    </row>
    <row r="56" spans="1:229">
      <c r="A56" s="31" t="s">
        <v>48</v>
      </c>
      <c r="B56" s="453" t="s">
        <v>325</v>
      </c>
      <c r="C56" s="453"/>
      <c r="D56" s="453"/>
      <c r="E56" s="453"/>
      <c r="F56" s="453"/>
      <c r="G56" s="31" t="s">
        <v>49</v>
      </c>
      <c r="H56" s="447" t="s">
        <v>322</v>
      </c>
      <c r="I56" s="447"/>
    </row>
    <row r="57" spans="1:229">
      <c r="A57" s="31" t="s">
        <v>50</v>
      </c>
      <c r="B57" s="448" t="s">
        <v>141</v>
      </c>
      <c r="C57" s="449"/>
      <c r="D57" s="449"/>
      <c r="E57" s="449"/>
      <c r="F57" s="450"/>
      <c r="G57" s="31" t="s">
        <v>51</v>
      </c>
      <c r="H57" s="451" t="s">
        <v>217</v>
      </c>
      <c r="I57" s="451"/>
    </row>
    <row r="58" spans="1:229">
      <c r="A58" s="452" t="s">
        <v>52</v>
      </c>
      <c r="B58" s="462" t="s">
        <v>53</v>
      </c>
      <c r="C58" s="453" t="s">
        <v>54</v>
      </c>
      <c r="D58" s="453"/>
      <c r="E58" s="453"/>
      <c r="F58" s="453"/>
      <c r="G58" s="31" t="s">
        <v>55</v>
      </c>
      <c r="H58" s="31" t="s">
        <v>56</v>
      </c>
      <c r="I58" s="31" t="s">
        <v>57</v>
      </c>
    </row>
    <row r="59" spans="1:229" ht="15.75">
      <c r="A59" s="452"/>
      <c r="B59" s="452"/>
      <c r="C59" s="453"/>
      <c r="D59" s="453"/>
      <c r="E59" s="453"/>
      <c r="F59" s="453"/>
      <c r="G59" s="31" t="s">
        <v>58</v>
      </c>
      <c r="H59" s="32" t="s">
        <v>59</v>
      </c>
      <c r="I59" s="32" t="s">
        <v>60</v>
      </c>
      <c r="K59" s="26" t="s">
        <v>127</v>
      </c>
      <c r="L59" s="26" t="s">
        <v>240</v>
      </c>
    </row>
    <row r="60" spans="1:229" ht="15.75">
      <c r="A60" s="33" t="s">
        <v>61</v>
      </c>
      <c r="B60" s="34" t="s">
        <v>62</v>
      </c>
      <c r="C60" s="433" t="s">
        <v>142</v>
      </c>
      <c r="D60" s="434"/>
      <c r="E60" s="434"/>
      <c r="F60" s="435"/>
      <c r="G60" s="35">
        <f>0.192^2*0.7854*8.89*99*1.015/10</f>
        <v>2.5864039338762241</v>
      </c>
      <c r="H60" s="67">
        <f>(J60+1055)/1000/1.13+1.18</f>
        <v>92.379115044247811</v>
      </c>
      <c r="I60" s="59">
        <f>G60*H60</f>
        <v>238.92970655844681</v>
      </c>
      <c r="J60" s="223" t="s">
        <v>199</v>
      </c>
      <c r="K60" s="288">
        <f>(G60+G62*45%)*10</f>
        <v>30.664108789816865</v>
      </c>
      <c r="L60" s="288">
        <f>G62*55%*10</f>
        <v>5.866751551288985</v>
      </c>
    </row>
    <row r="61" spans="1:229" ht="15.75">
      <c r="A61" s="34">
        <v>2</v>
      </c>
      <c r="B61" s="34" t="s">
        <v>63</v>
      </c>
      <c r="C61" s="433" t="s">
        <v>326</v>
      </c>
      <c r="D61" s="434"/>
      <c r="E61" s="434"/>
      <c r="F61" s="435"/>
      <c r="G61" s="36">
        <f>(3.6^2-2.2^2*0.9)*0.7854*1.35/10</f>
        <v>0.91227351599999995</v>
      </c>
      <c r="H61" s="68">
        <v>13.9003</v>
      </c>
      <c r="I61" s="59">
        <f>G61*H61</f>
        <v>12.680875554454799</v>
      </c>
    </row>
    <row r="62" spans="1:229" ht="15.75">
      <c r="A62" s="34">
        <v>4</v>
      </c>
      <c r="B62" s="34" t="s">
        <v>66</v>
      </c>
      <c r="C62" s="581" t="s">
        <v>323</v>
      </c>
      <c r="D62" s="582"/>
      <c r="E62" s="582"/>
      <c r="F62" s="583"/>
      <c r="G62" s="41">
        <f>0.2^2*0.7854*16*5*4/(COS(ATAN(2*PI()*(3.6+2*0.2)*4/16/25.4)))*1.03/10</f>
        <v>1.0666821002343607</v>
      </c>
      <c r="H62" s="359">
        <f>(J60*45%+J62*55%+31500)/1000/1.13</f>
        <v>81.150442477876112</v>
      </c>
      <c r="I62" s="59">
        <f>G62*H62</f>
        <v>86.56172441724857</v>
      </c>
      <c r="J62" s="223" t="s">
        <v>347</v>
      </c>
    </row>
    <row r="63" spans="1:229" ht="15.75">
      <c r="A63" s="34">
        <v>4</v>
      </c>
      <c r="B63" s="34" t="s">
        <v>67</v>
      </c>
      <c r="C63" s="40" t="s">
        <v>197</v>
      </c>
      <c r="D63" s="38"/>
      <c r="E63" s="38"/>
      <c r="F63" s="39"/>
      <c r="G63" s="35">
        <f>3.1416*(4.4+0.02)*0.02*2*1.3/10</f>
        <v>7.2206534399999994E-2</v>
      </c>
      <c r="H63" s="68">
        <v>22.5</v>
      </c>
      <c r="I63" s="59">
        <f>G63*H63</f>
        <v>1.6246470239999999</v>
      </c>
    </row>
    <row r="64" spans="1:229" ht="17.25">
      <c r="A64" s="34">
        <v>5</v>
      </c>
      <c r="B64" s="34" t="s">
        <v>68</v>
      </c>
      <c r="C64" s="433" t="s">
        <v>327</v>
      </c>
      <c r="D64" s="434"/>
      <c r="E64" s="434"/>
      <c r="F64" s="435"/>
      <c r="G64" s="36">
        <f>(5.6^2-4.44^2*0.9)*0.7854*1.35/10</f>
        <v>1.4438774750399994</v>
      </c>
      <c r="H64" s="68">
        <v>13.9003</v>
      </c>
      <c r="I64" s="59">
        <f>G64*H64</f>
        <v>20.070330066298503</v>
      </c>
    </row>
    <row r="65" spans="1:23" ht="15.75">
      <c r="A65" s="42" t="s">
        <v>69</v>
      </c>
      <c r="B65" s="43">
        <f>I65/100</f>
        <v>3.5986728362044871</v>
      </c>
      <c r="C65" s="436" t="s">
        <v>70</v>
      </c>
      <c r="D65" s="436"/>
      <c r="E65" s="436"/>
      <c r="F65" s="436"/>
      <c r="G65" s="43">
        <f>SUM(G60:G64)/100</f>
        <v>6.0814435595505839E-2</v>
      </c>
      <c r="H65" s="44" t="s">
        <v>71</v>
      </c>
      <c r="I65" s="60">
        <f>SUM(I60:I64)</f>
        <v>359.86728362044869</v>
      </c>
      <c r="J65" s="370">
        <f>B65/I77</f>
        <v>0.82372762893559759</v>
      </c>
    </row>
    <row r="66" spans="1:23" ht="36">
      <c r="A66" s="45" t="s">
        <v>53</v>
      </c>
      <c r="B66" s="46" t="s">
        <v>72</v>
      </c>
      <c r="C66" s="46" t="s">
        <v>73</v>
      </c>
      <c r="D66" s="45" t="s">
        <v>74</v>
      </c>
      <c r="E66" s="45" t="s">
        <v>75</v>
      </c>
      <c r="F66" s="46" t="s">
        <v>76</v>
      </c>
      <c r="G66" s="46" t="s">
        <v>77</v>
      </c>
      <c r="H66" s="47" t="s">
        <v>78</v>
      </c>
      <c r="I66" s="45" t="s">
        <v>79</v>
      </c>
    </row>
    <row r="67" spans="1:23" ht="15.75">
      <c r="A67" s="34" t="s">
        <v>62</v>
      </c>
      <c r="B67" s="195">
        <f>1000/60/80</f>
        <v>0.20833333333333334</v>
      </c>
      <c r="C67" s="48">
        <v>0</v>
      </c>
      <c r="D67" s="13">
        <v>15</v>
      </c>
      <c r="E67" s="14">
        <f>B67*D67*G75/1000+C67*D67*G73</f>
        <v>156.25</v>
      </c>
      <c r="F67" s="49">
        <v>0.05</v>
      </c>
      <c r="G67" s="50">
        <v>0</v>
      </c>
      <c r="H67" s="15">
        <f>F67*I60</f>
        <v>11.946485327922341</v>
      </c>
      <c r="I67" s="13">
        <f>E67+H67*G73</f>
        <v>168.19648532792235</v>
      </c>
    </row>
    <row r="68" spans="1:23" ht="15.75">
      <c r="A68" s="34" t="s">
        <v>63</v>
      </c>
      <c r="B68" s="195">
        <f>1000/60/120</f>
        <v>0.1388888888888889</v>
      </c>
      <c r="C68" s="48">
        <v>0</v>
      </c>
      <c r="D68" s="13">
        <v>120</v>
      </c>
      <c r="E68" s="14">
        <f>B68*D68*G75/1000+C68*D68*G73</f>
        <v>833.33333333333337</v>
      </c>
      <c r="F68" s="49">
        <v>0.5</v>
      </c>
      <c r="G68" s="50">
        <v>2</v>
      </c>
      <c r="H68" s="15">
        <f>F68*(I60+I61)+G68*H61</f>
        <v>153.60589105645079</v>
      </c>
      <c r="I68" s="13">
        <f>E68+H68*G73</f>
        <v>986.93922438978416</v>
      </c>
    </row>
    <row r="69" spans="1:23" ht="15.75">
      <c r="A69" s="34" t="s">
        <v>66</v>
      </c>
      <c r="B69" s="195">
        <v>5</v>
      </c>
      <c r="C69" s="48">
        <v>0</v>
      </c>
      <c r="D69" s="13">
        <v>15</v>
      </c>
      <c r="E69" s="14">
        <f>B69*D69*G75/1000+C69*D69*G73</f>
        <v>3750</v>
      </c>
      <c r="F69" s="49">
        <v>0.02</v>
      </c>
      <c r="G69" s="50">
        <v>0</v>
      </c>
      <c r="H69" s="15">
        <f>F69*(I65-I64-I63)</f>
        <v>6.763446130603004</v>
      </c>
      <c r="I69" s="13">
        <f>E69+H69*G73</f>
        <v>3756.7634461306029</v>
      </c>
    </row>
    <row r="70" spans="1:23" ht="15.75">
      <c r="A70" s="34" t="s">
        <v>65</v>
      </c>
      <c r="B70" s="195">
        <f>1000/60/20</f>
        <v>0.83333333333333337</v>
      </c>
      <c r="C70" s="48">
        <v>0</v>
      </c>
      <c r="D70" s="13">
        <v>15</v>
      </c>
      <c r="E70" s="14">
        <f>B70*D70*G75/1000+C70*D70*G73</f>
        <v>625</v>
      </c>
      <c r="F70" s="49">
        <v>0.02</v>
      </c>
      <c r="G70" s="50">
        <v>0</v>
      </c>
      <c r="H70" s="15">
        <f>F70*(I65-I64)</f>
        <v>6.7959390710830041</v>
      </c>
      <c r="I70" s="13">
        <f>E70+H70*G73</f>
        <v>631.79593907108301</v>
      </c>
    </row>
    <row r="71" spans="1:23" ht="15.75">
      <c r="A71" s="34" t="s">
        <v>68</v>
      </c>
      <c r="B71" s="195">
        <f>1000/60/60</f>
        <v>0.27777777777777779</v>
      </c>
      <c r="C71" s="48">
        <v>0</v>
      </c>
      <c r="D71" s="13">
        <v>120</v>
      </c>
      <c r="E71" s="14">
        <f>B71*D71*G75/1000+C71*D71*G73</f>
        <v>1666.6666666666667</v>
      </c>
      <c r="F71" s="49">
        <v>0.5</v>
      </c>
      <c r="G71" s="50">
        <v>2</v>
      </c>
      <c r="H71" s="15">
        <f>F71*I65+G71*H64</f>
        <v>207.73424181022435</v>
      </c>
      <c r="I71" s="13">
        <f>E71+H71*G73</f>
        <v>1874.4009084768911</v>
      </c>
    </row>
    <row r="72" spans="1:23">
      <c r="A72" s="437" t="s">
        <v>81</v>
      </c>
      <c r="B72" s="438"/>
      <c r="C72" s="16" t="s">
        <v>82</v>
      </c>
      <c r="D72" s="16" t="s">
        <v>83</v>
      </c>
      <c r="E72" s="16" t="s">
        <v>84</v>
      </c>
      <c r="F72" s="51" t="s">
        <v>85</v>
      </c>
      <c r="G72" s="52" t="s">
        <v>86</v>
      </c>
      <c r="H72" s="19" t="s">
        <v>87</v>
      </c>
      <c r="I72" s="61">
        <f>SUM(I67:I71)</f>
        <v>7418.0960033962838</v>
      </c>
    </row>
    <row r="73" spans="1:23" ht="15">
      <c r="A73" s="439"/>
      <c r="B73" s="440"/>
      <c r="C73" s="261">
        <v>0</v>
      </c>
      <c r="D73" s="277">
        <v>0.79800000000000004</v>
      </c>
      <c r="E73" s="20">
        <v>3.3000000000000002E-2</v>
      </c>
      <c r="F73" s="128">
        <v>0.02</v>
      </c>
      <c r="G73" s="53">
        <v>1</v>
      </c>
      <c r="H73" s="443" t="s">
        <v>88</v>
      </c>
      <c r="I73" s="444" t="s">
        <v>89</v>
      </c>
    </row>
    <row r="74" spans="1:23">
      <c r="A74" s="439"/>
      <c r="B74" s="440"/>
      <c r="C74" s="214" t="s">
        <v>105</v>
      </c>
      <c r="D74" s="278" t="s">
        <v>106</v>
      </c>
      <c r="E74" s="16" t="s">
        <v>90</v>
      </c>
      <c r="F74" s="19" t="s">
        <v>91</v>
      </c>
      <c r="G74" s="22" t="s">
        <v>92</v>
      </c>
      <c r="H74" s="443"/>
      <c r="I74" s="445"/>
    </row>
    <row r="75" spans="1:23" ht="18.75">
      <c r="A75" s="439"/>
      <c r="B75" s="440"/>
      <c r="C75" s="366">
        <f>220/2</f>
        <v>110</v>
      </c>
      <c r="D75" s="219">
        <v>0.06</v>
      </c>
      <c r="E75" s="279">
        <v>0</v>
      </c>
      <c r="F75" s="159">
        <v>0</v>
      </c>
      <c r="G75" s="280">
        <v>50000</v>
      </c>
      <c r="H75" s="23">
        <f>I72/G75+B65+B65*F73</f>
        <v>3.8190082129965028</v>
      </c>
      <c r="I75" s="62">
        <f>(H75/(1-D75)+C73+E73+E75/G75+C75/G75+C77*D77+D73*G65)*(1+F75)*(1+E77+F77)</f>
        <v>4.3309390234750857</v>
      </c>
    </row>
    <row r="76" spans="1:23">
      <c r="A76" s="439"/>
      <c r="B76" s="440"/>
      <c r="C76" s="51" t="s">
        <v>93</v>
      </c>
      <c r="D76" s="51" t="s">
        <v>94</v>
      </c>
      <c r="E76" s="158" t="s">
        <v>101</v>
      </c>
      <c r="F76" s="158" t="s">
        <v>102</v>
      </c>
      <c r="G76" s="158" t="s">
        <v>103</v>
      </c>
      <c r="H76" s="54" t="s">
        <v>95</v>
      </c>
      <c r="I76" s="63" t="s">
        <v>96</v>
      </c>
    </row>
    <row r="77" spans="1:23" ht="18.75">
      <c r="A77" s="441"/>
      <c r="B77" s="442"/>
      <c r="C77" s="55">
        <v>2</v>
      </c>
      <c r="D77" s="123">
        <v>0.02</v>
      </c>
      <c r="E77" s="156">
        <f>0.7%+0.5%</f>
        <v>1.2E-2</v>
      </c>
      <c r="F77" s="156">
        <f>0.25%*3+0.25%*6</f>
        <v>2.2499999999999999E-2</v>
      </c>
      <c r="G77" s="155">
        <v>0.15</v>
      </c>
      <c r="H77" s="23">
        <f>(H75+C73+E73+E75/G75+C75/G75+C77*D77+D73*G65)*(1+F75)*(1+E77+F77)</f>
        <v>4.0787625981764757</v>
      </c>
      <c r="I77" s="62">
        <f>I75+(I75-H77)*G77</f>
        <v>4.3687654872698776</v>
      </c>
    </row>
    <row r="78" spans="1:23" ht="25.5">
      <c r="A78" s="481" t="s">
        <v>46</v>
      </c>
      <c r="B78" s="481"/>
      <c r="C78" s="481"/>
      <c r="D78" s="481"/>
      <c r="E78" s="481"/>
      <c r="F78" s="481"/>
      <c r="G78" s="481"/>
      <c r="H78" s="481"/>
      <c r="I78" s="481"/>
      <c r="M78" s="495" t="s">
        <v>337</v>
      </c>
      <c r="N78" s="495"/>
      <c r="O78" s="495"/>
      <c r="P78" s="495"/>
      <c r="Q78" s="495"/>
      <c r="R78" s="495"/>
      <c r="S78" s="495"/>
      <c r="T78" s="495"/>
      <c r="U78" s="495"/>
      <c r="V78" s="165"/>
      <c r="W78" s="189"/>
    </row>
    <row r="79" spans="1:23" ht="25.5">
      <c r="A79" s="140"/>
      <c r="B79" s="140"/>
      <c r="C79" s="140"/>
      <c r="D79" s="140"/>
      <c r="E79" s="137"/>
      <c r="F79" s="139"/>
      <c r="G79" s="139"/>
      <c r="H79" s="139" t="s">
        <v>47</v>
      </c>
      <c r="I79" s="138" t="s">
        <v>328</v>
      </c>
      <c r="M79" s="166"/>
      <c r="N79" s="166"/>
      <c r="O79" s="166"/>
      <c r="P79" s="166"/>
      <c r="Q79" s="167"/>
      <c r="R79" s="168"/>
      <c r="S79" s="168"/>
      <c r="T79" s="168" t="s">
        <v>47</v>
      </c>
      <c r="U79" s="169" t="s">
        <v>122</v>
      </c>
      <c r="V79" s="165"/>
      <c r="W79" s="189"/>
    </row>
    <row r="80" spans="1:23">
      <c r="A80" s="136" t="s">
        <v>48</v>
      </c>
      <c r="B80" s="482" t="s">
        <v>329</v>
      </c>
      <c r="C80" s="482"/>
      <c r="D80" s="482"/>
      <c r="E80" s="482"/>
      <c r="F80" s="482"/>
      <c r="G80" s="136" t="s">
        <v>49</v>
      </c>
      <c r="H80" s="483" t="s">
        <v>322</v>
      </c>
      <c r="I80" s="483"/>
      <c r="M80" s="170" t="s">
        <v>48</v>
      </c>
      <c r="N80" s="496"/>
      <c r="O80" s="496"/>
      <c r="P80" s="496"/>
      <c r="Q80" s="496"/>
      <c r="R80" s="496"/>
      <c r="S80" s="170" t="s">
        <v>49</v>
      </c>
      <c r="T80" s="497" t="s">
        <v>110</v>
      </c>
      <c r="U80" s="497"/>
      <c r="V80" s="165"/>
      <c r="W80" s="189"/>
    </row>
    <row r="81" spans="1:23">
      <c r="A81" s="136" t="s">
        <v>50</v>
      </c>
      <c r="B81" s="484" t="s">
        <v>123</v>
      </c>
      <c r="C81" s="485"/>
      <c r="D81" s="485"/>
      <c r="E81" s="485"/>
      <c r="F81" s="486"/>
      <c r="G81" s="136" t="s">
        <v>51</v>
      </c>
      <c r="H81" s="487" t="s">
        <v>334</v>
      </c>
      <c r="I81" s="487"/>
      <c r="M81" s="170" t="s">
        <v>50</v>
      </c>
      <c r="N81" s="501" t="s">
        <v>123</v>
      </c>
      <c r="O81" s="502"/>
      <c r="P81" s="502"/>
      <c r="Q81" s="502"/>
      <c r="R81" s="503"/>
      <c r="S81" s="170" t="s">
        <v>51</v>
      </c>
      <c r="T81" s="498" t="s">
        <v>124</v>
      </c>
      <c r="U81" s="498"/>
      <c r="V81" s="165"/>
      <c r="W81" s="189"/>
    </row>
    <row r="82" spans="1:23">
      <c r="A82" s="488" t="s">
        <v>52</v>
      </c>
      <c r="B82" s="492" t="s">
        <v>53</v>
      </c>
      <c r="C82" s="482" t="s">
        <v>54</v>
      </c>
      <c r="D82" s="482"/>
      <c r="E82" s="482"/>
      <c r="F82" s="482"/>
      <c r="G82" s="136" t="s">
        <v>55</v>
      </c>
      <c r="H82" s="136" t="s">
        <v>56</v>
      </c>
      <c r="I82" s="136" t="s">
        <v>57</v>
      </c>
      <c r="M82" s="500" t="s">
        <v>52</v>
      </c>
      <c r="N82" s="499" t="s">
        <v>53</v>
      </c>
      <c r="O82" s="496" t="s">
        <v>54</v>
      </c>
      <c r="P82" s="496"/>
      <c r="Q82" s="496"/>
      <c r="R82" s="496"/>
      <c r="S82" s="170" t="s">
        <v>55</v>
      </c>
      <c r="T82" s="170" t="s">
        <v>56</v>
      </c>
      <c r="U82" s="170" t="s">
        <v>57</v>
      </c>
      <c r="V82" s="165"/>
      <c r="W82" s="189"/>
    </row>
    <row r="83" spans="1:23" ht="15.75">
      <c r="A83" s="488"/>
      <c r="B83" s="488"/>
      <c r="C83" s="482"/>
      <c r="D83" s="482"/>
      <c r="E83" s="482"/>
      <c r="F83" s="482"/>
      <c r="G83" s="136" t="s">
        <v>58</v>
      </c>
      <c r="H83" s="135" t="s">
        <v>59</v>
      </c>
      <c r="I83" s="135" t="s">
        <v>60</v>
      </c>
      <c r="M83" s="500"/>
      <c r="N83" s="500"/>
      <c r="O83" s="496"/>
      <c r="P83" s="496"/>
      <c r="Q83" s="496"/>
      <c r="R83" s="496"/>
      <c r="S83" s="170" t="s">
        <v>58</v>
      </c>
      <c r="T83" s="171" t="s">
        <v>59</v>
      </c>
      <c r="U83" s="171" t="s">
        <v>60</v>
      </c>
      <c r="V83" s="165"/>
      <c r="W83" s="189"/>
    </row>
    <row r="84" spans="1:23" ht="15.75">
      <c r="A84" s="33" t="s">
        <v>61</v>
      </c>
      <c r="B84" s="34" t="s">
        <v>62</v>
      </c>
      <c r="C84" s="433" t="s">
        <v>123</v>
      </c>
      <c r="D84" s="434"/>
      <c r="E84" s="434"/>
      <c r="F84" s="435"/>
      <c r="G84" s="35">
        <f>0.192^2*0.7854*8.89*80*3*1.015*1.015/10</f>
        <v>6.3641211948711929</v>
      </c>
      <c r="H84" s="67">
        <f>(J84+1055)/1000/1.13+1.18</f>
        <v>92.379115044247811</v>
      </c>
      <c r="I84" s="134">
        <f t="shared" ref="I84:I90" si="9">G84*H84</f>
        <v>587.91188401654176</v>
      </c>
      <c r="J84" s="223" t="s">
        <v>199</v>
      </c>
      <c r="K84" s="286">
        <f>(G84+G88)*10</f>
        <v>96.353553814616134</v>
      </c>
      <c r="M84" s="88" t="s">
        <v>61</v>
      </c>
      <c r="N84" s="91" t="s">
        <v>62</v>
      </c>
      <c r="O84" s="476" t="s">
        <v>123</v>
      </c>
      <c r="P84" s="477"/>
      <c r="Q84" s="477"/>
      <c r="R84" s="478"/>
      <c r="S84" s="89">
        <f>0.192^2*0.7854*8.89*80*1.015/10*1.015*3</f>
        <v>6.364121194871192</v>
      </c>
      <c r="T84" s="90">
        <f>(V84+1100)/1.13/1000+1.18</f>
        <v>64.100353982300888</v>
      </c>
      <c r="U84" s="184">
        <f t="shared" ref="U84:U89" si="10">S84*T84</f>
        <v>407.94242137750712</v>
      </c>
      <c r="V84" s="172">
        <v>70000</v>
      </c>
      <c r="W84" s="189"/>
    </row>
    <row r="85" spans="1:23" ht="17.25">
      <c r="A85" s="34">
        <v>2</v>
      </c>
      <c r="B85" s="34" t="s">
        <v>63</v>
      </c>
      <c r="C85" s="433" t="s">
        <v>330</v>
      </c>
      <c r="D85" s="434"/>
      <c r="E85" s="434"/>
      <c r="F85" s="435"/>
      <c r="G85" s="36">
        <f>(3.5^2-2^2*0.9)*0.7854*1.35*1.015/10*3</f>
        <v>2.7927243382499993</v>
      </c>
      <c r="H85" s="68">
        <v>13.9003</v>
      </c>
      <c r="I85" s="134">
        <f t="shared" si="9"/>
        <v>38.819706118976463</v>
      </c>
      <c r="M85" s="91">
        <v>2</v>
      </c>
      <c r="N85" s="91" t="s">
        <v>63</v>
      </c>
      <c r="O85" s="476" t="s">
        <v>111</v>
      </c>
      <c r="P85" s="477"/>
      <c r="Q85" s="477"/>
      <c r="R85" s="478"/>
      <c r="S85" s="92">
        <f>(3.4^2-2^2*0.85)*0.7854*1.35*1.015*3/10</f>
        <v>2.6345237687999998</v>
      </c>
      <c r="T85" s="93">
        <v>16.815000000000001</v>
      </c>
      <c r="U85" s="184">
        <f t="shared" si="10"/>
        <v>44.299517172371999</v>
      </c>
      <c r="V85" s="165"/>
      <c r="W85" s="189"/>
    </row>
    <row r="86" spans="1:23" ht="15.75">
      <c r="A86" s="34">
        <v>3</v>
      </c>
      <c r="B86" s="34" t="s">
        <v>64</v>
      </c>
      <c r="C86" s="37" t="s">
        <v>331</v>
      </c>
      <c r="D86" s="38"/>
      <c r="E86" s="38"/>
      <c r="F86" s="39"/>
      <c r="G86" s="36">
        <f>3.67*3/10*1.015</f>
        <v>1.1175149999999998</v>
      </c>
      <c r="H86" s="68">
        <v>6</v>
      </c>
      <c r="I86" s="134">
        <f t="shared" si="9"/>
        <v>6.7050899999999984</v>
      </c>
      <c r="M86" s="91">
        <v>3</v>
      </c>
      <c r="N86" s="91" t="s">
        <v>65</v>
      </c>
      <c r="O86" s="163" t="s">
        <v>112</v>
      </c>
      <c r="P86" s="95"/>
      <c r="Q86" s="95"/>
      <c r="R86" s="96"/>
      <c r="S86" s="89">
        <f>3.1416*(7.32+0.05)*0.05*0.8/10</f>
        <v>9.2614368000000002E-2</v>
      </c>
      <c r="T86" s="190">
        <v>20</v>
      </c>
      <c r="U86" s="184">
        <f t="shared" si="10"/>
        <v>1.85228736</v>
      </c>
      <c r="V86" s="165"/>
      <c r="W86" s="189"/>
    </row>
    <row r="87" spans="1:23" ht="15.75">
      <c r="A87" s="34">
        <v>4</v>
      </c>
      <c r="B87" s="34" t="s">
        <v>65</v>
      </c>
      <c r="C87" s="37" t="s">
        <v>161</v>
      </c>
      <c r="D87" s="38"/>
      <c r="E87" s="38"/>
      <c r="F87" s="39"/>
      <c r="G87" s="282">
        <f>3.14*(7.54+0.08)*0.08*0.8/(1-30%)/10</f>
        <v>0.21875931428571432</v>
      </c>
      <c r="H87" s="68">
        <v>22.48</v>
      </c>
      <c r="I87" s="134">
        <f t="shared" si="9"/>
        <v>4.9177093851428584</v>
      </c>
      <c r="M87" s="91">
        <v>4</v>
      </c>
      <c r="N87" s="91" t="s">
        <v>66</v>
      </c>
      <c r="O87" s="94" t="s">
        <v>113</v>
      </c>
      <c r="P87" s="95"/>
      <c r="Q87" s="95"/>
      <c r="R87" s="96"/>
      <c r="S87" s="191">
        <f>5.03*(7.32+0.15*4)*0.15*8.89*0.62/10</f>
        <v>3.2936532552000002</v>
      </c>
      <c r="T87" s="90">
        <f>(V84+1100)/1.13/1000+5.18</f>
        <v>68.100353982300888</v>
      </c>
      <c r="U87" s="184">
        <f t="shared" si="10"/>
        <v>224.29895257407762</v>
      </c>
      <c r="V87" s="165"/>
      <c r="W87" s="189"/>
    </row>
    <row r="88" spans="1:23" ht="15.75">
      <c r="A88" s="34">
        <v>5</v>
      </c>
      <c r="B88" s="34" t="s">
        <v>66</v>
      </c>
      <c r="C88" s="40" t="s">
        <v>332</v>
      </c>
      <c r="D88" s="38"/>
      <c r="E88" s="38"/>
      <c r="F88" s="39"/>
      <c r="G88" s="358">
        <f>0.148^2*0.7854*24*8*8.89/(COS(ATAN(2*PI()*(7.7+2*0.148)*5/24/25.4)))*1.03/10</f>
        <v>3.2712341865904202</v>
      </c>
      <c r="H88" s="67">
        <f>(J84+1055)/1000/1.13+5.86</f>
        <v>97.059115044247804</v>
      </c>
      <c r="I88" s="134">
        <f t="shared" si="9"/>
        <v>317.50309525295597</v>
      </c>
      <c r="M88" s="91">
        <v>4</v>
      </c>
      <c r="N88" s="91" t="s">
        <v>67</v>
      </c>
      <c r="O88" s="94" t="s">
        <v>114</v>
      </c>
      <c r="P88" s="95"/>
      <c r="Q88" s="95"/>
      <c r="R88" s="96"/>
      <c r="S88" s="89">
        <f>3.1416*(8+0.035)*0.035*2*1.33/10</f>
        <v>0.23501005836000002</v>
      </c>
      <c r="T88" s="93">
        <v>22.5</v>
      </c>
      <c r="U88" s="184">
        <f t="shared" si="10"/>
        <v>5.2877263131000003</v>
      </c>
      <c r="V88" s="165"/>
      <c r="W88" s="189"/>
    </row>
    <row r="89" spans="1:23" ht="17.25">
      <c r="A89" s="34">
        <v>6</v>
      </c>
      <c r="B89" s="34" t="s">
        <v>67</v>
      </c>
      <c r="C89" s="40" t="s">
        <v>126</v>
      </c>
      <c r="D89" s="38"/>
      <c r="E89" s="38"/>
      <c r="F89" s="39"/>
      <c r="G89" s="35">
        <f>3.1416*(8.3+0.035)*0.035*2*1.3/10</f>
        <v>0.23828564760000007</v>
      </c>
      <c r="H89" s="68">
        <v>23.5</v>
      </c>
      <c r="I89" s="134">
        <f t="shared" si="9"/>
        <v>5.599712718600002</v>
      </c>
      <c r="J89" s="370"/>
      <c r="M89" s="91">
        <v>5</v>
      </c>
      <c r="N89" s="91" t="s">
        <v>68</v>
      </c>
      <c r="O89" s="476" t="s">
        <v>115</v>
      </c>
      <c r="P89" s="477"/>
      <c r="Q89" s="477"/>
      <c r="R89" s="478"/>
      <c r="S89" s="92">
        <f>(10^2-8.2^2*0.9)*0.7854*1.35/10</f>
        <v>4.1864490360000008</v>
      </c>
      <c r="T89" s="93">
        <v>16.815000000000001</v>
      </c>
      <c r="U89" s="184">
        <f t="shared" si="10"/>
        <v>70.395140540340023</v>
      </c>
      <c r="V89" s="165"/>
      <c r="W89" s="189"/>
    </row>
    <row r="90" spans="1:23" ht="17.25">
      <c r="A90" s="34">
        <v>7</v>
      </c>
      <c r="B90" s="34" t="s">
        <v>68</v>
      </c>
      <c r="C90" s="433" t="s">
        <v>333</v>
      </c>
      <c r="D90" s="434"/>
      <c r="E90" s="434"/>
      <c r="F90" s="435"/>
      <c r="G90" s="36">
        <f>(11.3^2-8.4^2*0.9)*0.7854*1.35/10</f>
        <v>6.8055773940000011</v>
      </c>
      <c r="H90" s="68">
        <v>12.25</v>
      </c>
      <c r="I90" s="134">
        <f t="shared" si="9"/>
        <v>83.368323076500019</v>
      </c>
      <c r="M90" s="173" t="s">
        <v>69</v>
      </c>
      <c r="N90" s="174">
        <f>U90/100</f>
        <v>7.5407604533739674</v>
      </c>
      <c r="O90" s="504" t="s">
        <v>70</v>
      </c>
      <c r="P90" s="504"/>
      <c r="Q90" s="504"/>
      <c r="R90" s="504"/>
      <c r="S90" s="174">
        <f>SUM(S84:S89)/100</f>
        <v>0.16806371681231191</v>
      </c>
      <c r="T90" s="185" t="s">
        <v>71</v>
      </c>
      <c r="U90" s="186">
        <f>SUM(U84:U89)</f>
        <v>754.07604533739675</v>
      </c>
      <c r="V90" s="175" t="e">
        <f>N90/U103</f>
        <v>#REF!</v>
      </c>
      <c r="W90" s="189"/>
    </row>
    <row r="91" spans="1:23" ht="36">
      <c r="A91" s="133" t="s">
        <v>69</v>
      </c>
      <c r="B91" s="132">
        <f>I91/100</f>
        <v>10.448255205687172</v>
      </c>
      <c r="C91" s="489" t="s">
        <v>70</v>
      </c>
      <c r="D91" s="489"/>
      <c r="E91" s="489"/>
      <c r="F91" s="489"/>
      <c r="G91" s="132">
        <f>SUM(G84:G90)/100</f>
        <v>0.20808217075597327</v>
      </c>
      <c r="H91" s="131" t="s">
        <v>71</v>
      </c>
      <c r="I91" s="130">
        <f>SUM(I84:I90)</f>
        <v>1044.8255205687171</v>
      </c>
      <c r="J91" s="370">
        <f>B91/I104</f>
        <v>0.81788753033383998</v>
      </c>
      <c r="M91" s="97" t="s">
        <v>53</v>
      </c>
      <c r="N91" s="98" t="s">
        <v>72</v>
      </c>
      <c r="O91" s="98" t="s">
        <v>73</v>
      </c>
      <c r="P91" s="97" t="s">
        <v>74</v>
      </c>
      <c r="Q91" s="97" t="s">
        <v>75</v>
      </c>
      <c r="R91" s="98" t="s">
        <v>76</v>
      </c>
      <c r="S91" s="98" t="s">
        <v>77</v>
      </c>
      <c r="T91" s="99" t="s">
        <v>78</v>
      </c>
      <c r="U91" s="153" t="s">
        <v>79</v>
      </c>
      <c r="V91" s="165"/>
      <c r="W91" s="189"/>
    </row>
    <row r="92" spans="1:23" ht="36">
      <c r="A92" s="45" t="s">
        <v>53</v>
      </c>
      <c r="B92" s="46" t="s">
        <v>72</v>
      </c>
      <c r="C92" s="46" t="s">
        <v>73</v>
      </c>
      <c r="D92" s="45" t="s">
        <v>74</v>
      </c>
      <c r="E92" s="45" t="s">
        <v>75</v>
      </c>
      <c r="F92" s="46" t="s">
        <v>76</v>
      </c>
      <c r="G92" s="46" t="s">
        <v>77</v>
      </c>
      <c r="H92" s="47" t="s">
        <v>78</v>
      </c>
      <c r="I92" s="45" t="s">
        <v>79</v>
      </c>
      <c r="M92" s="91" t="s">
        <v>62</v>
      </c>
      <c r="N92" s="101">
        <f>1000/50000*12*3</f>
        <v>0.72</v>
      </c>
      <c r="O92" s="101">
        <v>0</v>
      </c>
      <c r="P92" s="141">
        <v>20</v>
      </c>
      <c r="Q92" s="154">
        <f>N92*P92*S101/1000+O92*P92*S99</f>
        <v>719.99999999999989</v>
      </c>
      <c r="R92" s="122">
        <v>0.05</v>
      </c>
      <c r="S92" s="176">
        <v>0</v>
      </c>
      <c r="T92" s="142">
        <f>R92*U84</f>
        <v>20.397121068875357</v>
      </c>
      <c r="U92" s="151">
        <f>Q92+T92*S99</f>
        <v>740.39712106887521</v>
      </c>
      <c r="V92" s="165"/>
      <c r="W92" s="189"/>
    </row>
    <row r="93" spans="1:23" ht="15.75">
      <c r="A93" s="34" t="s">
        <v>62</v>
      </c>
      <c r="B93" s="195">
        <f>1000/60000*12*3</f>
        <v>0.60000000000000009</v>
      </c>
      <c r="C93" s="48">
        <v>0</v>
      </c>
      <c r="D93" s="13">
        <v>15</v>
      </c>
      <c r="E93" s="14">
        <f>B93*D93*G102/1000+C93*D93*G100</f>
        <v>450.00000000000011</v>
      </c>
      <c r="F93" s="49">
        <v>0.05</v>
      </c>
      <c r="G93" s="129">
        <v>0</v>
      </c>
      <c r="H93" s="15">
        <f>F93*I84</f>
        <v>29.395594200827091</v>
      </c>
      <c r="I93" s="13">
        <f>E93+H93*G100</f>
        <v>479.39559420082719</v>
      </c>
      <c r="M93" s="91" t="s">
        <v>63</v>
      </c>
      <c r="N93" s="101">
        <f>1000/60/150*3</f>
        <v>0.33333333333333337</v>
      </c>
      <c r="O93" s="101">
        <v>0</v>
      </c>
      <c r="P93" s="141">
        <v>100</v>
      </c>
      <c r="Q93" s="154">
        <f>N93*P93*S101/1000+O93*P93*S99</f>
        <v>1666.6666666666667</v>
      </c>
      <c r="R93" s="122">
        <v>0.5</v>
      </c>
      <c r="S93" s="176">
        <v>2</v>
      </c>
      <c r="T93" s="142">
        <f>R93*(U84+U85)+S93*T85</f>
        <v>259.75096927493956</v>
      </c>
      <c r="U93" s="151">
        <f>Q93+T93*S99</f>
        <v>1926.4176359416062</v>
      </c>
      <c r="V93" s="165"/>
      <c r="W93" s="189"/>
    </row>
    <row r="94" spans="1:23" ht="15.75">
      <c r="A94" s="34" t="s">
        <v>63</v>
      </c>
      <c r="B94" s="195">
        <f>1000/50000*12*3</f>
        <v>0.72</v>
      </c>
      <c r="C94" s="48">
        <v>0</v>
      </c>
      <c r="D94" s="13">
        <v>120</v>
      </c>
      <c r="E94" s="14">
        <f>B94*D94*G102/1000+C94*D94*G100</f>
        <v>4320</v>
      </c>
      <c r="F94" s="49">
        <v>0.5</v>
      </c>
      <c r="G94" s="129">
        <v>2</v>
      </c>
      <c r="H94" s="15">
        <f>F94*(I84+I85)+G94*H85</f>
        <v>341.16639506775908</v>
      </c>
      <c r="I94" s="13">
        <f>E94+H94*G100</f>
        <v>4661.1663950677594</v>
      </c>
      <c r="M94" s="91" t="s">
        <v>80</v>
      </c>
      <c r="N94" s="101">
        <v>1</v>
      </c>
      <c r="O94" s="101">
        <v>0</v>
      </c>
      <c r="P94" s="141">
        <v>60</v>
      </c>
      <c r="Q94" s="154">
        <f>N94*P94*S101/1000+O94*P94*S99</f>
        <v>3000</v>
      </c>
      <c r="R94" s="122">
        <v>0.02</v>
      </c>
      <c r="S94" s="176">
        <v>0</v>
      </c>
      <c r="T94" s="142">
        <f>R94*(U84+U85+U86)</f>
        <v>9.0818845181975831</v>
      </c>
      <c r="U94" s="151">
        <f>Q94+T94*S99</f>
        <v>3009.0818845181975</v>
      </c>
      <c r="V94" s="165"/>
      <c r="W94" s="189"/>
    </row>
    <row r="95" spans="1:23" ht="15.75">
      <c r="A95" s="34" t="s">
        <v>80</v>
      </c>
      <c r="B95" s="195">
        <f>1000/4000*12</f>
        <v>3</v>
      </c>
      <c r="C95" s="48">
        <v>0</v>
      </c>
      <c r="D95" s="13">
        <v>15</v>
      </c>
      <c r="E95" s="14">
        <f>B95*D95*G102/1000+C95*D95*G104</f>
        <v>2250</v>
      </c>
      <c r="F95" s="49">
        <v>0.01</v>
      </c>
      <c r="G95" s="129">
        <v>0</v>
      </c>
      <c r="H95" s="15">
        <f>F95*(I84+I85)</f>
        <v>6.2673159013551825</v>
      </c>
      <c r="I95" s="13">
        <f>E95+H95*G98</f>
        <v>2262.5346318027105</v>
      </c>
      <c r="M95" s="91" t="s">
        <v>66</v>
      </c>
      <c r="N95" s="152">
        <v>6</v>
      </c>
      <c r="O95" s="101">
        <v>0</v>
      </c>
      <c r="P95" s="141">
        <v>60</v>
      </c>
      <c r="Q95" s="154">
        <f>N95*P95*S101/1000+O95*P95*S99</f>
        <v>18000</v>
      </c>
      <c r="R95" s="122">
        <v>0.02</v>
      </c>
      <c r="S95" s="176">
        <v>0</v>
      </c>
      <c r="T95" s="142">
        <f>R95*(U90-U89-U88)</f>
        <v>13.567863569679135</v>
      </c>
      <c r="U95" s="151">
        <f>Q95+T95*S99</f>
        <v>18013.567863569679</v>
      </c>
      <c r="V95" s="165"/>
      <c r="W95" s="189"/>
    </row>
    <row r="96" spans="1:23" ht="15.75">
      <c r="A96" s="34" t="s">
        <v>66</v>
      </c>
      <c r="B96" s="195">
        <f>1000/60/2.5</f>
        <v>6.666666666666667</v>
      </c>
      <c r="C96" s="48">
        <v>0</v>
      </c>
      <c r="D96" s="13">
        <v>15</v>
      </c>
      <c r="E96" s="14">
        <f>B96*D96*G102/1000+C96*D96*G100</f>
        <v>5000</v>
      </c>
      <c r="F96" s="49">
        <v>0.02</v>
      </c>
      <c r="G96" s="129">
        <v>0</v>
      </c>
      <c r="H96" s="15">
        <f>F96*(I91-I90-I89)</f>
        <v>19.117149695472342</v>
      </c>
      <c r="I96" s="13">
        <f>E96+H96*G100</f>
        <v>5019.1171496954721</v>
      </c>
      <c r="M96" s="91" t="s">
        <v>65</v>
      </c>
      <c r="N96" s="152">
        <v>1</v>
      </c>
      <c r="O96" s="101">
        <v>0</v>
      </c>
      <c r="P96" s="141">
        <v>30</v>
      </c>
      <c r="Q96" s="154">
        <f>N96*P96*S101/1000+O96*P96*S99</f>
        <v>1500</v>
      </c>
      <c r="R96" s="122">
        <v>0.02</v>
      </c>
      <c r="S96" s="176">
        <v>0</v>
      </c>
      <c r="T96" s="142">
        <f>R96*(U90-U89)</f>
        <v>13.673618095941135</v>
      </c>
      <c r="U96" s="151">
        <f>Q96+T96*S99</f>
        <v>1513.673618095941</v>
      </c>
      <c r="V96" s="165"/>
      <c r="W96" s="189"/>
    </row>
    <row r="97" spans="1:30" ht="15.75">
      <c r="A97" s="34" t="s">
        <v>65</v>
      </c>
      <c r="B97" s="195">
        <f>1000/60/15</f>
        <v>1.1111111111111112</v>
      </c>
      <c r="C97" s="48">
        <v>0</v>
      </c>
      <c r="D97" s="13">
        <v>15</v>
      </c>
      <c r="E97" s="14">
        <f>B97*D97*G102/1000+C97*D97*G100</f>
        <v>833.33333333333337</v>
      </c>
      <c r="F97" s="49">
        <v>0.02</v>
      </c>
      <c r="G97" s="129">
        <v>0</v>
      </c>
      <c r="H97" s="15">
        <f>F97*(I91-I90)</f>
        <v>19.229143949844342</v>
      </c>
      <c r="I97" s="13">
        <f>E97+H97*G100</f>
        <v>852.56247728317771</v>
      </c>
      <c r="M97" s="91" t="s">
        <v>68</v>
      </c>
      <c r="N97" s="100">
        <f>1000/60/25</f>
        <v>0.66666666666666674</v>
      </c>
      <c r="O97" s="101">
        <v>0</v>
      </c>
      <c r="P97" s="141">
        <v>120</v>
      </c>
      <c r="Q97" s="154">
        <f>N97*P97*S101/1000+O97*P97*S99</f>
        <v>4000.0000000000009</v>
      </c>
      <c r="R97" s="122">
        <v>0.5</v>
      </c>
      <c r="S97" s="176">
        <v>5</v>
      </c>
      <c r="T97" s="142">
        <f>R97*U90+S97*T89</f>
        <v>461.11302266869836</v>
      </c>
      <c r="U97" s="151">
        <f>Q97+T97*S99</f>
        <v>4461.1130226686992</v>
      </c>
      <c r="V97" s="165"/>
      <c r="W97" s="189"/>
    </row>
    <row r="98" spans="1:30" ht="24">
      <c r="A98" s="34" t="s">
        <v>68</v>
      </c>
      <c r="B98" s="195">
        <f>1000/60/20</f>
        <v>0.83333333333333337</v>
      </c>
      <c r="C98" s="48">
        <v>0</v>
      </c>
      <c r="D98" s="13">
        <v>150</v>
      </c>
      <c r="E98" s="14">
        <f>B98*D98*G102/1000+C98*D98*G100</f>
        <v>6250</v>
      </c>
      <c r="F98" s="49">
        <v>0.5</v>
      </c>
      <c r="G98" s="129">
        <v>2</v>
      </c>
      <c r="H98" s="15">
        <f>F98*I91+G98*H90</f>
        <v>546.91276028435857</v>
      </c>
      <c r="I98" s="13">
        <f>E98+H98*G100</f>
        <v>6796.9127602843582</v>
      </c>
      <c r="M98" s="469" t="s">
        <v>81</v>
      </c>
      <c r="N98" s="470"/>
      <c r="O98" s="102" t="s">
        <v>82</v>
      </c>
      <c r="P98" s="102" t="s">
        <v>83</v>
      </c>
      <c r="Q98" s="102" t="s">
        <v>84</v>
      </c>
      <c r="R98" s="177" t="s">
        <v>85</v>
      </c>
      <c r="S98" s="178" t="s">
        <v>86</v>
      </c>
      <c r="T98" s="106" t="s">
        <v>87</v>
      </c>
      <c r="U98" s="150">
        <f>SUM(U92:U97)</f>
        <v>29664.251145863</v>
      </c>
      <c r="V98" s="165"/>
      <c r="W98" s="189"/>
    </row>
    <row r="99" spans="1:30" ht="15">
      <c r="A99" s="437" t="s">
        <v>81</v>
      </c>
      <c r="B99" s="438"/>
      <c r="C99" s="16" t="s">
        <v>82</v>
      </c>
      <c r="D99" s="16" t="s">
        <v>83</v>
      </c>
      <c r="E99" s="16" t="s">
        <v>84</v>
      </c>
      <c r="F99" s="126" t="s">
        <v>85</v>
      </c>
      <c r="G99" s="125" t="s">
        <v>86</v>
      </c>
      <c r="H99" s="19" t="s">
        <v>87</v>
      </c>
      <c r="I99" s="61">
        <f>SUM(I93:I98)</f>
        <v>20071.689008334302</v>
      </c>
      <c r="M99" s="471"/>
      <c r="N99" s="472"/>
      <c r="O99" s="103">
        <v>0</v>
      </c>
      <c r="P99" s="104">
        <v>0.8</v>
      </c>
      <c r="Q99" s="103">
        <v>0.125</v>
      </c>
      <c r="R99" s="160">
        <v>0.03</v>
      </c>
      <c r="S99" s="179">
        <v>1</v>
      </c>
      <c r="T99" s="475" t="s">
        <v>88</v>
      </c>
      <c r="U99" s="493" t="s">
        <v>89</v>
      </c>
      <c r="V99" s="165"/>
      <c r="W99" s="189"/>
    </row>
    <row r="100" spans="1:30" ht="24">
      <c r="A100" s="439"/>
      <c r="B100" s="440"/>
      <c r="C100" s="261">
        <v>0</v>
      </c>
      <c r="D100" s="277">
        <v>0.79800000000000004</v>
      </c>
      <c r="E100" s="20">
        <v>0.15</v>
      </c>
      <c r="F100" s="128">
        <v>0.02</v>
      </c>
      <c r="G100" s="127">
        <v>1</v>
      </c>
      <c r="H100" s="466" t="s">
        <v>88</v>
      </c>
      <c r="I100" s="490" t="s">
        <v>89</v>
      </c>
      <c r="M100" s="471"/>
      <c r="N100" s="472"/>
      <c r="O100" s="180" t="s">
        <v>98</v>
      </c>
      <c r="P100" s="105" t="s">
        <v>38</v>
      </c>
      <c r="Q100" s="102" t="s">
        <v>90</v>
      </c>
      <c r="R100" s="106" t="s">
        <v>91</v>
      </c>
      <c r="S100" s="107" t="s">
        <v>92</v>
      </c>
      <c r="T100" s="475"/>
      <c r="U100" s="494"/>
      <c r="V100" s="165"/>
      <c r="W100" s="189"/>
    </row>
    <row r="101" spans="1:30" ht="18.75">
      <c r="A101" s="439"/>
      <c r="B101" s="440"/>
      <c r="C101" s="214" t="s">
        <v>105</v>
      </c>
      <c r="D101" s="278" t="s">
        <v>106</v>
      </c>
      <c r="E101" s="16" t="s">
        <v>90</v>
      </c>
      <c r="F101" s="19" t="s">
        <v>91</v>
      </c>
      <c r="G101" s="22" t="s">
        <v>92</v>
      </c>
      <c r="H101" s="466"/>
      <c r="I101" s="491"/>
      <c r="M101" s="471"/>
      <c r="N101" s="472"/>
      <c r="O101" s="181">
        <f>200/200000*S101</f>
        <v>50</v>
      </c>
      <c r="P101" s="82" t="e">
        <f>(U103-T103)/U103</f>
        <v>#REF!</v>
      </c>
      <c r="Q101" s="148">
        <v>0</v>
      </c>
      <c r="R101" s="159">
        <v>0</v>
      </c>
      <c r="S101" s="108">
        <v>50000</v>
      </c>
      <c r="T101" s="109">
        <f>U98/S101+N90+N90*R99</f>
        <v>8.3602682898924456</v>
      </c>
      <c r="U101" s="146" t="e">
        <f>(T101/(1-P101)+O99+Q99+Q101/S101+O101/S101+O103*P103+P99*S90)*(1+R101)*(1+Q103+R103)</f>
        <v>#REF!</v>
      </c>
      <c r="V101" s="165"/>
      <c r="W101" s="189"/>
    </row>
    <row r="102" spans="1:30" ht="18.75">
      <c r="A102" s="439"/>
      <c r="B102" s="440"/>
      <c r="C102" s="366">
        <f>220/2</f>
        <v>110</v>
      </c>
      <c r="D102" s="219">
        <v>0.06</v>
      </c>
      <c r="E102" s="279">
        <v>0</v>
      </c>
      <c r="F102" s="159">
        <v>0</v>
      </c>
      <c r="G102" s="280">
        <v>50000</v>
      </c>
      <c r="H102" s="23">
        <f>I99/G102+B91+B91*F100</f>
        <v>11.0586540899676</v>
      </c>
      <c r="I102" s="62">
        <f>(H102/(1-D102)+C100+E100+E102/G102+C102/G102+C104*D104+D100*G91)*(1+F102)*(1+E104+F104)</f>
        <v>12.665150944284523</v>
      </c>
      <c r="M102" s="471"/>
      <c r="N102" s="472"/>
      <c r="O102" s="177" t="s">
        <v>93</v>
      </c>
      <c r="P102" s="177" t="s">
        <v>94</v>
      </c>
      <c r="Q102" s="178" t="s">
        <v>101</v>
      </c>
      <c r="R102" s="178" t="s">
        <v>102</v>
      </c>
      <c r="S102" s="178" t="s">
        <v>103</v>
      </c>
      <c r="T102" s="187" t="s">
        <v>95</v>
      </c>
      <c r="U102" s="188" t="s">
        <v>96</v>
      </c>
      <c r="V102" s="182"/>
      <c r="W102" s="189"/>
    </row>
    <row r="103" spans="1:30" ht="18.75">
      <c r="A103" s="439"/>
      <c r="B103" s="440"/>
      <c r="C103" s="126" t="s">
        <v>93</v>
      </c>
      <c r="D103" s="126" t="s">
        <v>94</v>
      </c>
      <c r="E103" s="158" t="s">
        <v>101</v>
      </c>
      <c r="F103" s="158" t="s">
        <v>102</v>
      </c>
      <c r="G103" s="158" t="s">
        <v>103</v>
      </c>
      <c r="H103" s="145" t="s">
        <v>95</v>
      </c>
      <c r="I103" s="238" t="s">
        <v>96</v>
      </c>
      <c r="J103" s="212" t="s">
        <v>341</v>
      </c>
      <c r="M103" s="473"/>
      <c r="N103" s="474"/>
      <c r="O103" s="164">
        <v>3</v>
      </c>
      <c r="P103" s="157">
        <v>0.02</v>
      </c>
      <c r="Q103" s="161">
        <f>0.7%+0.5%</f>
        <v>1.2E-2</v>
      </c>
      <c r="R103" s="156">
        <f>0.25%*3+0.25%*6</f>
        <v>2.2499999999999999E-2</v>
      </c>
      <c r="S103" s="155">
        <v>0.15</v>
      </c>
      <c r="T103" s="109">
        <f>(T101+O99+Q99+Q101/S101+O101/S101+O103*P103+P99*S90)*(1+R101)*(1+Q103+R103)</f>
        <v>8.9802040779276044</v>
      </c>
      <c r="U103" s="110" t="e">
        <f>V103</f>
        <v>#REF!</v>
      </c>
      <c r="V103" s="183" t="e">
        <f>#REF!</f>
        <v>#REF!</v>
      </c>
      <c r="W103" s="189"/>
    </row>
    <row r="104" spans="1:30" ht="18.75">
      <c r="A104" s="441"/>
      <c r="B104" s="442"/>
      <c r="C104" s="124">
        <v>1</v>
      </c>
      <c r="D104" s="123">
        <v>0.16</v>
      </c>
      <c r="E104" s="156">
        <f>0.7%+0.5%</f>
        <v>1.2E-2</v>
      </c>
      <c r="F104" s="156">
        <f>0.25%*3+0.25%*6</f>
        <v>2.2499999999999999E-2</v>
      </c>
      <c r="G104" s="155">
        <v>0.15</v>
      </c>
      <c r="H104" s="23">
        <f>(H102+C100+E100+E102/G102+C102/G102+C104*D104+D100*G91)*(1+F102)*(1+E104+F104)</f>
        <v>11.934926838577832</v>
      </c>
      <c r="I104" s="62">
        <f>I102+(I102-H104)*G104</f>
        <v>12.774684560140527</v>
      </c>
      <c r="J104">
        <v>12.583000000000009</v>
      </c>
    </row>
    <row r="105" spans="1:30" s="202" customFormat="1" ht="49.5">
      <c r="A105" s="203" t="s">
        <v>180</v>
      </c>
      <c r="B105" s="203" t="s">
        <v>107</v>
      </c>
      <c r="C105" s="203"/>
      <c r="D105" s="203" t="s">
        <v>128</v>
      </c>
      <c r="E105" s="204" t="s">
        <v>129</v>
      </c>
      <c r="F105" s="204" t="s">
        <v>130</v>
      </c>
      <c r="G105" s="204" t="s">
        <v>131</v>
      </c>
      <c r="H105" s="204" t="s">
        <v>132</v>
      </c>
      <c r="I105" s="204" t="s">
        <v>133</v>
      </c>
      <c r="J105" s="300" t="s">
        <v>134</v>
      </c>
      <c r="K105" s="302" t="s">
        <v>109</v>
      </c>
      <c r="L105" s="302"/>
      <c r="M105" s="302"/>
      <c r="N105" s="204" t="s">
        <v>135</v>
      </c>
      <c r="O105" s="204" t="s">
        <v>181</v>
      </c>
      <c r="P105" s="204" t="s">
        <v>2</v>
      </c>
      <c r="Q105" s="204" t="s">
        <v>4</v>
      </c>
      <c r="R105" s="204" t="s">
        <v>5</v>
      </c>
    </row>
    <row r="106" spans="1:30" s="202" customFormat="1" ht="132">
      <c r="A106" s="225">
        <v>40</v>
      </c>
      <c r="B106" s="372">
        <v>6010497</v>
      </c>
      <c r="C106" s="224" t="s">
        <v>335</v>
      </c>
      <c r="D106" s="303" t="s">
        <v>336</v>
      </c>
      <c r="E106" s="224" t="s">
        <v>97</v>
      </c>
      <c r="F106" s="224" t="s">
        <v>97</v>
      </c>
      <c r="G106" s="224" t="s">
        <v>97</v>
      </c>
      <c r="H106" s="224" t="s">
        <v>97</v>
      </c>
      <c r="I106" s="224" t="s">
        <v>97</v>
      </c>
      <c r="J106" s="304">
        <v>9.3870000000000005</v>
      </c>
      <c r="K106" s="299">
        <f t="shared" ref="K106" si="11">ROUND(J106,3)*1.13</f>
        <v>10.60731</v>
      </c>
      <c r="L106" s="301"/>
      <c r="M106" s="301"/>
      <c r="N106" s="224"/>
      <c r="O106" s="224" t="s">
        <v>226</v>
      </c>
      <c r="P106" s="224" t="s">
        <v>108</v>
      </c>
      <c r="Q106" s="213">
        <v>1.7437264621780074E-4</v>
      </c>
      <c r="R106" s="213">
        <v>0.81849338410454586</v>
      </c>
      <c r="S106" s="202" t="s">
        <v>227</v>
      </c>
    </row>
    <row r="107" spans="1:30" s="196" customFormat="1" ht="41.25" customHeight="1">
      <c r="A107" s="197" t="s">
        <v>226</v>
      </c>
      <c r="B107" s="197"/>
      <c r="C107" s="197"/>
      <c r="D107" s="197"/>
      <c r="E107" s="290" t="s">
        <v>172</v>
      </c>
      <c r="F107" s="290" t="s">
        <v>173</v>
      </c>
      <c r="G107" s="290" t="s">
        <v>174</v>
      </c>
      <c r="H107" s="290" t="s">
        <v>175</v>
      </c>
      <c r="I107" s="290" t="s">
        <v>176</v>
      </c>
      <c r="J107" s="290" t="s">
        <v>177</v>
      </c>
      <c r="K107" s="290" t="s">
        <v>178</v>
      </c>
      <c r="L107" s="290" t="s">
        <v>179</v>
      </c>
      <c r="M107" s="291" t="s">
        <v>117</v>
      </c>
      <c r="N107" s="291" t="s">
        <v>116</v>
      </c>
      <c r="O107" s="291"/>
    </row>
    <row r="108" spans="1:30" s="196" customFormat="1" ht="48.75" customHeight="1">
      <c r="A108" s="430">
        <v>6010497</v>
      </c>
      <c r="B108" s="430" t="s">
        <v>338</v>
      </c>
      <c r="C108" s="430" t="s">
        <v>339</v>
      </c>
      <c r="D108" s="431" t="s">
        <v>108</v>
      </c>
      <c r="E108" s="373">
        <f>F108-0.188</f>
        <v>9.1989999999999998</v>
      </c>
      <c r="F108" s="373">
        <v>9.3870000000000005</v>
      </c>
      <c r="G108" s="373">
        <v>9.5749999999999993</v>
      </c>
      <c r="H108" s="373">
        <f>G108+0.188</f>
        <v>9.7629999999999999</v>
      </c>
      <c r="I108" s="373">
        <f>H108+0.188</f>
        <v>9.9510000000000005</v>
      </c>
      <c r="J108" s="373">
        <f>I108+0.188</f>
        <v>10.139000000000001</v>
      </c>
      <c r="K108" s="373">
        <f>J108+0.188</f>
        <v>10.327000000000002</v>
      </c>
      <c r="L108" s="373">
        <f>K108+0.188</f>
        <v>10.515000000000002</v>
      </c>
      <c r="M108" s="374">
        <v>1.7437264621780074E-4</v>
      </c>
      <c r="N108" s="374">
        <v>0.81849338410454586</v>
      </c>
      <c r="O108" s="375" t="s">
        <v>118</v>
      </c>
      <c r="P108" s="376">
        <f t="shared" ref="P108:V108" si="12">F108-E108</f>
        <v>0.18800000000000061</v>
      </c>
      <c r="Q108" s="376">
        <f t="shared" si="12"/>
        <v>0.18799999999999883</v>
      </c>
      <c r="R108" s="376">
        <f t="shared" si="12"/>
        <v>0.18800000000000061</v>
      </c>
      <c r="S108" s="376">
        <f t="shared" si="12"/>
        <v>0.18800000000000061</v>
      </c>
      <c r="T108" s="376">
        <f t="shared" si="12"/>
        <v>0.18800000000000061</v>
      </c>
      <c r="U108" s="376">
        <f t="shared" si="12"/>
        <v>0.18800000000000061</v>
      </c>
      <c r="V108" s="376">
        <f t="shared" si="12"/>
        <v>0.18800000000000061</v>
      </c>
      <c r="W108" s="377" t="e">
        <f>E108/'[1]24.8.16(4)未税'!E78-1</f>
        <v>#DIV/0!</v>
      </c>
      <c r="X108" s="377" t="e">
        <f>F108/'[1]24.8.16(4)未税'!F78-1</f>
        <v>#DIV/0!</v>
      </c>
      <c r="Y108" s="377" t="e">
        <f>G108/'[1]24.8.16(4)未税'!G78-1</f>
        <v>#DIV/0!</v>
      </c>
      <c r="Z108" s="377" t="e">
        <f>H108/'[1]24.8.16(4)未税'!H78-1</f>
        <v>#DIV/0!</v>
      </c>
      <c r="AA108" s="377" t="e">
        <f>I108/'[1]24.8.16(4)未税'!I78-1</f>
        <v>#DIV/0!</v>
      </c>
      <c r="AB108" s="377" t="e">
        <f>J108/'[1]24.8.16(4)未税'!J78-1</f>
        <v>#DIV/0!</v>
      </c>
      <c r="AC108" s="377" t="e">
        <f>K108/'[1]24.8.16(4)未税'!K78-1</f>
        <v>#DIV/0!</v>
      </c>
      <c r="AD108" s="377" t="e">
        <f>L108/'[1]24.8.16(4)未税'!L78-1</f>
        <v>#DIV/0!</v>
      </c>
    </row>
    <row r="109" spans="1:30">
      <c r="M109" s="223" t="s">
        <v>340</v>
      </c>
      <c r="N109" s="240">
        <f>L108+P108*(104-82)/2</f>
        <v>12.583000000000009</v>
      </c>
    </row>
  </sheetData>
  <mergeCells count="111">
    <mergeCell ref="O35:R35"/>
    <mergeCell ref="U47:U48"/>
    <mergeCell ref="O36:R36"/>
    <mergeCell ref="O38:R38"/>
    <mergeCell ref="O39:R39"/>
    <mergeCell ref="M46:N51"/>
    <mergeCell ref="T47:T48"/>
    <mergeCell ref="M28:U28"/>
    <mergeCell ref="N30:R30"/>
    <mergeCell ref="T30:U30"/>
    <mergeCell ref="N31:R31"/>
    <mergeCell ref="T31:U31"/>
    <mergeCell ref="M32:M33"/>
    <mergeCell ref="N32:N33"/>
    <mergeCell ref="O32:R33"/>
    <mergeCell ref="O34:R34"/>
    <mergeCell ref="C58:F59"/>
    <mergeCell ref="C60:F60"/>
    <mergeCell ref="C61:F61"/>
    <mergeCell ref="C62:F62"/>
    <mergeCell ref="C64:F64"/>
    <mergeCell ref="C65:F65"/>
    <mergeCell ref="A72:B77"/>
    <mergeCell ref="H31:I31"/>
    <mergeCell ref="A32:A33"/>
    <mergeCell ref="B32:B33"/>
    <mergeCell ref="C32:F33"/>
    <mergeCell ref="B57:F57"/>
    <mergeCell ref="H57:I57"/>
    <mergeCell ref="C34:F34"/>
    <mergeCell ref="C35:F35"/>
    <mergeCell ref="C36:F36"/>
    <mergeCell ref="C38:F38"/>
    <mergeCell ref="C39:F39"/>
    <mergeCell ref="A46:B51"/>
    <mergeCell ref="H47:H48"/>
    <mergeCell ref="I47:I48"/>
    <mergeCell ref="A54:I54"/>
    <mergeCell ref="B56:F56"/>
    <mergeCell ref="O82:R83"/>
    <mergeCell ref="A28:I28"/>
    <mergeCell ref="B30:F30"/>
    <mergeCell ref="H30:I30"/>
    <mergeCell ref="B31:F31"/>
    <mergeCell ref="H56:I56"/>
    <mergeCell ref="H73:H74"/>
    <mergeCell ref="I73:I74"/>
    <mergeCell ref="H100:H101"/>
    <mergeCell ref="B80:F80"/>
    <mergeCell ref="H80:I80"/>
    <mergeCell ref="B81:F81"/>
    <mergeCell ref="H81:I81"/>
    <mergeCell ref="C84:F84"/>
    <mergeCell ref="C85:F85"/>
    <mergeCell ref="C90:F90"/>
    <mergeCell ref="C91:F91"/>
    <mergeCell ref="A99:B104"/>
    <mergeCell ref="A82:A83"/>
    <mergeCell ref="B82:B83"/>
    <mergeCell ref="C82:F83"/>
    <mergeCell ref="A78:I78"/>
    <mergeCell ref="A58:A59"/>
    <mergeCell ref="B58:B59"/>
    <mergeCell ref="A1:I1"/>
    <mergeCell ref="J1:K2"/>
    <mergeCell ref="M1:U1"/>
    <mergeCell ref="V1:W2"/>
    <mergeCell ref="B3:F3"/>
    <mergeCell ref="H3:I3"/>
    <mergeCell ref="N3:R3"/>
    <mergeCell ref="T3:U3"/>
    <mergeCell ref="U99:U100"/>
    <mergeCell ref="O84:R84"/>
    <mergeCell ref="O85:R85"/>
    <mergeCell ref="O89:R89"/>
    <mergeCell ref="O90:R90"/>
    <mergeCell ref="M98:N103"/>
    <mergeCell ref="T99:T100"/>
    <mergeCell ref="I100:I101"/>
    <mergeCell ref="J28:K29"/>
    <mergeCell ref="M78:U78"/>
    <mergeCell ref="N80:R80"/>
    <mergeCell ref="T80:U80"/>
    <mergeCell ref="N81:R81"/>
    <mergeCell ref="T81:U81"/>
    <mergeCell ref="M82:M83"/>
    <mergeCell ref="N82:N83"/>
    <mergeCell ref="B4:F4"/>
    <mergeCell ref="H4:I4"/>
    <mergeCell ref="N4:R4"/>
    <mergeCell ref="T4:U4"/>
    <mergeCell ref="A5:A6"/>
    <mergeCell ref="B5:B6"/>
    <mergeCell ref="C5:F6"/>
    <mergeCell ref="M5:M6"/>
    <mergeCell ref="N5:N6"/>
    <mergeCell ref="O5:R6"/>
    <mergeCell ref="T21:T22"/>
    <mergeCell ref="U21:U22"/>
    <mergeCell ref="C12:F12"/>
    <mergeCell ref="O12:R12"/>
    <mergeCell ref="A20:B25"/>
    <mergeCell ref="M20:N25"/>
    <mergeCell ref="H21:H22"/>
    <mergeCell ref="I21:I22"/>
    <mergeCell ref="C7:F7"/>
    <mergeCell ref="O7:R7"/>
    <mergeCell ref="C8:F8"/>
    <mergeCell ref="O8:R8"/>
    <mergeCell ref="C11:F11"/>
    <mergeCell ref="O11:R11"/>
  </mergeCells>
  <phoneticPr fontId="7" type="noConversion"/>
  <conditionalFormatting sqref="B105">
    <cfRule type="duplicateValues" dxfId="3" priority="11" stopIfTrue="1"/>
  </conditionalFormatting>
  <conditionalFormatting sqref="I27:L27">
    <cfRule type="expression" dxfId="2" priority="1">
      <formula>AND(I27=#REF!,I27&lt;&gt;"",I27&lt;&gt;0)</formula>
    </cfRule>
  </conditionalFormatting>
  <conditionalFormatting sqref="K106:M107">
    <cfRule type="expression" dxfId="1" priority="12">
      <formula>AND(K106=#REF!,K106&lt;&gt;"",K106&lt;&gt;0)</formula>
    </cfRule>
  </conditionalFormatting>
  <conditionalFormatting sqref="L53:O53">
    <cfRule type="expression" dxfId="0" priority="2">
      <formula>AND(L53=#REF!,L53&lt;&gt;"",L53&lt;&gt;0)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26.4.23</vt:lpstr>
      <vt:lpstr>26.4.24武汉</vt:lpstr>
      <vt:lpstr>26.4.28柳州</vt:lpstr>
      <vt:lpstr>26.4.30武汉</vt:lpstr>
      <vt:lpstr>26.5.7武汉</vt:lpstr>
      <vt:lpstr>26.5.9柳州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刘颖</cp:lastModifiedBy>
  <cp:lastPrinted>2026-01-17T03:26:05Z</cp:lastPrinted>
  <dcterms:created xsi:type="dcterms:W3CDTF">2022-11-14T02:08:36Z</dcterms:created>
  <dcterms:modified xsi:type="dcterms:W3CDTF">2026-05-21T02:42:40Z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Created">
    <vt:filetime>2022-11-03T02:36:37Z</vt:filetime>
  </property>
  <property fmtid="{D5CDD505-2E9C-101B-9397-08002B2CF9AE}" pid="4" name="ICV">
    <vt:lpwstr>A994DFA1B12747EFAEB295E0F9F93A68</vt:lpwstr>
  </property>
  <property fmtid="{D5CDD505-2E9C-101B-9397-08002B2CF9AE}" pid="5" name="KSOProductBuildVer">
    <vt:lpwstr>2052-11.1.0.12763</vt:lpwstr>
  </property>
</Properties>
</file>